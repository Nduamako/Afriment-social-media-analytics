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EDIN" sheetId="1" r:id="rId5"/>
    <sheet state="visible" name="FACEBOOK" sheetId="2" r:id="rId6"/>
    <sheet state="visible" name="TWITTER" sheetId="3" r:id="rId7"/>
    <sheet state="visible" name="TIKTOK" sheetId="4" r:id="rId8"/>
    <sheet state="visible" name="Tables" sheetId="5" r:id="rId9"/>
    <sheet state="visible" name="Charts" sheetId="6" r:id="rId10"/>
    <sheet state="visible" name="Analysis" sheetId="7" r:id="rId11"/>
  </sheets>
  <definedNames/>
  <calcPr/>
</workbook>
</file>

<file path=xl/sharedStrings.xml><?xml version="1.0" encoding="utf-8"?>
<sst xmlns="http://schemas.openxmlformats.org/spreadsheetml/2006/main" count="502" uniqueCount="168">
  <si>
    <t>Platform</t>
  </si>
  <si>
    <t>Post ID/Link</t>
  </si>
  <si>
    <t>Date Posted</t>
  </si>
  <si>
    <t>Time Posted</t>
  </si>
  <si>
    <t>Content Type</t>
  </si>
  <si>
    <t>Topic</t>
  </si>
  <si>
    <t>Format</t>
  </si>
  <si>
    <t>Impression</t>
  </si>
  <si>
    <t>Reach</t>
  </si>
  <si>
    <t>Saves</t>
  </si>
  <si>
    <t>Shares</t>
  </si>
  <si>
    <t>Likes</t>
  </si>
  <si>
    <t xml:space="preserve">Comments </t>
  </si>
  <si>
    <t xml:space="preserve">Engagements </t>
  </si>
  <si>
    <t>Engagement rate</t>
  </si>
  <si>
    <t>CTR</t>
  </si>
  <si>
    <t>Follower growth</t>
  </si>
  <si>
    <t>Engagement</t>
  </si>
  <si>
    <t>Conversion Rate</t>
  </si>
  <si>
    <t>Facebook</t>
  </si>
  <si>
    <t>New Follower</t>
  </si>
  <si>
    <t xml:space="preserve">Conversion Rate </t>
  </si>
  <si>
    <t>Column 1</t>
  </si>
  <si>
    <t>https://www.facebook.com/permalink.php?story_fbid=pfbid0xxEQ9feWCBYa4Uv8AsTnTdfoeZt4ARjvy9SHdKPGNgVyUxpEWuKjfNWiGCrcBC37l&amp;id=61577709174293</t>
  </si>
  <si>
    <t>Linkedin</t>
  </si>
  <si>
    <t>https://www.linkedin.com/posts/afriment_afriment-bridgethegap-careerdevelopment-activity-7490300674459725824-bxBa?utm_source=share&amp;utm_medium=member_android&amp;rcm=ACoAAEyjc2UBzXf14E5UAcrrJ_BdXNlBzpZyAV8</t>
  </si>
  <si>
    <t>Tiktok</t>
  </si>
  <si>
    <t>https://www.tiktok.com/@afriment39/video/7664856808649002258?is_from_webapp=1&amp;sender_device=pc&amp;web_id=7673098842363938312</t>
  </si>
  <si>
    <t>Twitter(X)</t>
  </si>
  <si>
    <t>https://x.com/i/status/2084171359043600862</t>
  </si>
  <si>
    <t>Awareness</t>
  </si>
  <si>
    <t>Graduation Meeting</t>
  </si>
  <si>
    <t>Conversion</t>
  </si>
  <si>
    <t>Mission Statement</t>
  </si>
  <si>
    <t>Image</t>
  </si>
  <si>
    <t>Picture</t>
  </si>
  <si>
    <t>Testimonial</t>
  </si>
  <si>
    <t>Graduation</t>
  </si>
  <si>
    <t>Video</t>
  </si>
  <si>
    <t>https://www.facebook.com/permalink.php?story_fbid=pfbid0DnopggDdLZCroPk5uvkCFWHikDCqyaQ5hHqa7c8jASgNRh4SwngbjmGHZKkNLVtql&amp;id=61577709174293</t>
  </si>
  <si>
    <t>https://www.tiktok.com/@afriment39/photo/7667470288824700178?is_from_webapp=1&amp;sender_device=pc&amp;web_id=7673098842363938312</t>
  </si>
  <si>
    <t>https://x.com/i/status/2084534319930814570</t>
  </si>
  <si>
    <t>https://www.linkedin.com/posts/afriment_afriment-50kstrong-linkedincommunity-activity-7490662888987324416-OXMO?utm_source=share&amp;utm_medium=member_android&amp;rcm=ACoAAEyjc2UBzXf14E5UAcrrJ_BdXNlBzpZyAV8</t>
  </si>
  <si>
    <t>Entertaining</t>
  </si>
  <si>
    <t xml:space="preserve">Mission Statement </t>
  </si>
  <si>
    <t>Celebration Post</t>
  </si>
  <si>
    <t>C21 Introduction</t>
  </si>
  <si>
    <t>Graphics</t>
  </si>
  <si>
    <t>https://www.linkedin.com/posts/afriment_afriment-testimonial-careergrowth-activity-7491025949044588545-GRUG?utm_source=share&amp;utm_medium=member_android&amp;rcm=ACoAAEyjc2UBzXf14E5UAcrrJ_BdXNlBzpZyAV8</t>
  </si>
  <si>
    <t>https://www.tiktok.com/@afriment39/photo/7667841909125041416?is_from_webapp=1&amp;sender_device=pc&amp;web_id=7673098842363938312</t>
  </si>
  <si>
    <t>https://x.com/i/status/2085258751926218918</t>
  </si>
  <si>
    <t>https://www.facebook.com/permalink.php?story_fbid=pfbid0AqnVDJJZWbXfpaQA1DLVNWtF6mWLmZECBL5BDq6vB5jmKm9MZnEk468E7PG971hil&amp;id=61577709174293</t>
  </si>
  <si>
    <t xml:space="preserve">Conversion </t>
  </si>
  <si>
    <t>Children Bootcamp</t>
  </si>
  <si>
    <t>https://www.linkedin.com/posts/afriment_afriment-afrimentinternship-careergrowth-activity-7491389071475507203-tf7q?utm_source=share&amp;utm_medium=member_android&amp;rcm=ACoAAEyjc2UBzXf14E5UAcrrJ_BdXNlBzpZyAV8</t>
  </si>
  <si>
    <t>https://x.com/i/status/2085621579757535553</t>
  </si>
  <si>
    <t>https://www.facebook.com/permalink.php?story_fbid=pfbid0mZjDWhNTaQ9MyGnzzCEQXxJTDT9xzhirczD9euGRHBbTgp7wwz1Ja5S1VcNSx89Wl&amp;id=61577709174293</t>
  </si>
  <si>
    <t>https://www.tiktok.com/@afriment39/photo/7670067759388183816?is_from_webapp=1&amp;sender_device=pc&amp;web_id=7673098842363938312</t>
  </si>
  <si>
    <t>Countdown</t>
  </si>
  <si>
    <t xml:space="preserve"> Image</t>
  </si>
  <si>
    <t>https://www.facebook.com/permalink.php?story_fbid=pfbid03sGdsP8EzXHPv5XeUH1wsAz6tMSZNmnijTSfUF2vkSaT6FbBs8v5QAmZWzmNVbanl&amp;id=61577709174293</t>
  </si>
  <si>
    <t>https://x.com/i/status/2086708758344859939</t>
  </si>
  <si>
    <t>https://www.linkedin.com/posts/afriment_afriment-careergrowth-professionaldevelopment-activity-7492474886309789696-7K1T?utm_source=share&amp;utm_medium=member_android&amp;rcm=ACoAAEyjc2UBzXf14E5UAcrrJ_BdXNlBzpZyAV8</t>
  </si>
  <si>
    <t>Onboarding Meeting</t>
  </si>
  <si>
    <t xml:space="preserve">Awareness </t>
  </si>
  <si>
    <t>https://www.tiktok.com/@afriment39/video/7672664745383611666?is_from_webapp=1&amp;sender_device=pc&amp;web_id=7673098842363938312</t>
  </si>
  <si>
    <t xml:space="preserve">Onboarding </t>
  </si>
  <si>
    <t>Educational</t>
  </si>
  <si>
    <t>About Payment</t>
  </si>
  <si>
    <t>https://facebook.com/reel/2083221632580142/</t>
  </si>
  <si>
    <t>Educating</t>
  </si>
  <si>
    <t>About Afriment</t>
  </si>
  <si>
    <t>https://x.com/i/status/2087071493129670838</t>
  </si>
  <si>
    <t>https://www.linkedin.com/posts/afriment_cohort-21-has-officially-begun-and-the-teams-activity-7493200325924020224-Z1Zb?utm_source=share&amp;utm_medium=member_android&amp;rcm=ACoAAEyjc2UBzXf14E5UAcrrJ_BdXNlBzpZyAV8</t>
  </si>
  <si>
    <t>https://www.tiktok.com/@afriment39/photo/7674890008506977554?is_from_webapp=1&amp;sender_device=pc&amp;web_id=7673098842363938312</t>
  </si>
  <si>
    <t>https://www.facebook.com/permalink.php?story_fbid=pfbid0L2qrAQHKbpBBVxqNp89RahHAYSVNaBR9bApRDEUNcyvARD5eWXBRdzF5sdPX3R6Bl&amp;id=61577709174293</t>
  </si>
  <si>
    <t>C21 Team</t>
  </si>
  <si>
    <t>Motivational</t>
  </si>
  <si>
    <t>https://www.linkedin.com/posts/afriment_afriment-rabiuolowofoundation-partnership-activity-7493563136759877633-oD3j?utm_source=share&amp;utm_medium=member_android&amp;rcm=ACoAAEyjc2UBzXf14E5UAcrrJ_BdXNlBzpZyAV8</t>
  </si>
  <si>
    <t>Partnership</t>
  </si>
  <si>
    <t>13/8/2026</t>
  </si>
  <si>
    <t xml:space="preserve">Partnership Announcement </t>
  </si>
  <si>
    <t xml:space="preserve">Picture </t>
  </si>
  <si>
    <t>https://www.linkedin.com/posts/afriment_afriment-cohort21-internship-activity-7493924590960893952-wViX?utm_source=share&amp;utm_medium=member_android&amp;rcm=ACoAAEyjc2UBzXf14E5UAcrrJ_BdXNlBzpZyAV8</t>
  </si>
  <si>
    <t>https://x.com/AFRIMENT/status/2087797952374784421</t>
  </si>
  <si>
    <t>14/8/2026</t>
  </si>
  <si>
    <t>https://www.facebook.com/permalink.php?story_fbid=pfbid0qyq5fqLmKUZSitb5uhFf791ttzHP68ncp1aMATjc2bpvh5Ugdc8VziW38Zu7u7MRl&amp;id=61577709174293</t>
  </si>
  <si>
    <t xml:space="preserve">C21 Judges </t>
  </si>
  <si>
    <t>https://www.linkedin.com/posts/afriment_afriment-afrimentc22-internship-activity-7495012129985581058-R43V?utm_source=share&amp;utm_medium=member_android&amp;rcm=ACoAAEyjc2UBzXf14E5UAcrrJ_BdXNlBzpZyAV8</t>
  </si>
  <si>
    <t>17/8/2026</t>
  </si>
  <si>
    <t>https://x.com/AFRIMENT/status/2089245153659674941</t>
  </si>
  <si>
    <t xml:space="preserve">WEEK 2 </t>
  </si>
  <si>
    <t>SOCIAL MEDIA COMPARISON &amp; PERFORMANCE ANALYSIS</t>
  </si>
  <si>
    <t>OVERALL PLATFORM PERFORMANCE</t>
  </si>
  <si>
    <t>Average Engagement Rate by Format</t>
  </si>
  <si>
    <t>Posts</t>
  </si>
  <si>
    <t>Impressions</t>
  </si>
  <si>
    <t>Comments</t>
  </si>
  <si>
    <t>Avg. Engagement Rate</t>
  </si>
  <si>
    <t>New Followers</t>
  </si>
  <si>
    <t>LinkedIn</t>
  </si>
  <si>
    <t>Twitter/X</t>
  </si>
  <si>
    <t>N/A</t>
  </si>
  <si>
    <t>TikTok</t>
  </si>
  <si>
    <t>Avg. Engagement Rate by Topic</t>
  </si>
  <si>
    <t>Top &amp; Bottom Performing Posts.</t>
  </si>
  <si>
    <t>Top vs Bottom Posts Chart Data</t>
  </si>
  <si>
    <t>Rank</t>
  </si>
  <si>
    <t>Performance</t>
  </si>
  <si>
    <t>Engagement Rate</t>
  </si>
  <si>
    <t>Top</t>
  </si>
  <si>
    <t>Bottom</t>
  </si>
  <si>
    <t>Partnership Announcement</t>
  </si>
  <si>
    <t>Onboarding</t>
  </si>
  <si>
    <t>Content Type Performance</t>
  </si>
  <si>
    <t>Weekly Impressions and Engagement Rate</t>
  </si>
  <si>
    <t>Week</t>
  </si>
  <si>
    <t>Total Impressions</t>
  </si>
  <si>
    <t>Week 1 (Jul 20–26)</t>
  </si>
  <si>
    <t>C21 Judges</t>
  </si>
  <si>
    <t>Week 2 (Jul 27–Aug 2)</t>
  </si>
  <si>
    <t>Week 3 (Aug 3–9)</t>
  </si>
  <si>
    <t>Week 4 (Aug 10–16)</t>
  </si>
  <si>
    <t>Week 5 (Aug 17–23)</t>
  </si>
  <si>
    <t>Impressions &amp; Engagement Rate Over Time</t>
  </si>
  <si>
    <t>Period</t>
  </si>
  <si>
    <t>Grand Total</t>
  </si>
  <si>
    <t>WEEK 3</t>
  </si>
  <si>
    <t>COMPETITOR &amp; CONTENT BENCHMARKING</t>
  </si>
  <si>
    <t>Competitor Posting Frequency by Platform</t>
  </si>
  <si>
    <t>Competitor</t>
  </si>
  <si>
    <t>YouTube</t>
  </si>
  <si>
    <t>Instagram</t>
  </si>
  <si>
    <t>AFRIMENT</t>
  </si>
  <si>
    <t>ALTSchool Africa</t>
  </si>
  <si>
    <t>Decagon Institute</t>
  </si>
  <si>
    <t>TalentQL</t>
  </si>
  <si>
    <t>Moringa School</t>
  </si>
  <si>
    <t>Gebeya</t>
  </si>
  <si>
    <t>BeTeachified</t>
  </si>
  <si>
    <t>Codar Tech Africa</t>
  </si>
  <si>
    <t>Utiva</t>
  </si>
  <si>
    <t>Tech4Dev</t>
  </si>
  <si>
    <t>She Code Africa</t>
  </si>
  <si>
    <t>TS Academy</t>
  </si>
  <si>
    <t>Africa Agility</t>
  </si>
  <si>
    <t>ALX Africa</t>
  </si>
  <si>
    <t>I4G (Ingressive for Good)</t>
  </si>
  <si>
    <t>ANDELA</t>
  </si>
  <si>
    <t>HNG</t>
  </si>
  <si>
    <t>3MTT (3 Million Technical Talent)</t>
  </si>
  <si>
    <t>Internflare</t>
  </si>
  <si>
    <t>GoMyCode Africa</t>
  </si>
  <si>
    <t>Semi Colon Africa</t>
  </si>
  <si>
    <t>Genesys Tech Hub</t>
  </si>
  <si>
    <t>Techstudio Academy</t>
  </si>
  <si>
    <t>Bloomy Technologies</t>
  </si>
  <si>
    <t>TOTAL AUDIENCE BY COMPETITOR</t>
  </si>
  <si>
    <t>ACTIVE PLATFORMS BY COMPETITOR</t>
  </si>
  <si>
    <t>AFRIMENT AUDIENCE VS COMPETITOR MEDIAN</t>
  </si>
  <si>
    <t>Total Audience</t>
  </si>
  <si>
    <t>Active Platforms</t>
  </si>
  <si>
    <t>Afriment Audience</t>
  </si>
  <si>
    <t>Competitor Median</t>
  </si>
  <si>
    <t>Afriment Position</t>
  </si>
  <si>
    <t>Above Median</t>
  </si>
  <si>
    <t>Below Median</t>
  </si>
  <si>
    <t>WEEK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</si>
</sst>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h:mm:ss am/pm"/>
    <numFmt numFmtId="166" formatCode="mmmm yyyy"/>
  </numFmts>
  <fonts count="19">
    <font>
      <sz val="10.0"/>
      <color rgb="FF000000"/>
      <name val="Arial"/>
      <scheme val="minor"/>
    </font>
    <font>
      <b/>
      <color theme="1"/>
      <name val="Roboto"/>
    </font>
    <font>
      <b/>
      <color rgb="FFFFFFFF"/>
      <name val="Roboto"/>
    </font>
    <font>
      <color rgb="FF434343"/>
      <name val="Roboto"/>
    </font>
    <font>
      <u/>
      <color rgb="FF434343"/>
      <name val="Roboto"/>
    </font>
    <font>
      <color theme="1"/>
      <name val="Arial"/>
    </font>
    <font>
      <color theme="1"/>
      <name val="Arial"/>
      <scheme val="minor"/>
    </font>
    <font>
      <u/>
      <color rgb="FF434343"/>
      <name val="Roboto"/>
    </font>
    <font>
      <u/>
      <color rgb="FF434343"/>
      <name val="Roboto"/>
    </font>
    <font>
      <u/>
      <color rgb="FF1155CC"/>
      <name val="Arial"/>
    </font>
    <font>
      <u/>
      <color rgb="FF434343"/>
      <name val="Roboto"/>
    </font>
    <font>
      <color theme="1"/>
      <name val="Roboto"/>
    </font>
    <font>
      <b/>
      <sz val="25.0"/>
      <color theme="1"/>
      <name val="Arial"/>
      <scheme val="minor"/>
    </font>
    <font>
      <b/>
      <sz val="20.0"/>
      <color theme="1"/>
      <name val="Arial"/>
      <scheme val="minor"/>
    </font>
    <font>
      <b/>
      <sz val="13.0"/>
      <color theme="1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sz val="3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B7E1CD"/>
      </right>
      <top style="thin">
        <color rgb="FFB7E1CD"/>
      </top>
      <bottom style="thin">
        <color rgb="FFB7E1CD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B7E1CD"/>
      </right>
      <top style="thin">
        <color rgb="FFB7E1CD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4" xfId="0" applyAlignment="1" applyFont="1" applyNumberFormat="1">
      <alignment horizontal="left" readingOrder="0" shrinkToFit="0" vertical="center" wrapText="1"/>
    </xf>
    <xf borderId="2" fillId="3" fontId="3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2" fillId="3" fontId="3" numFmtId="0" xfId="0" applyAlignment="1" applyBorder="1" applyFill="1" applyFont="1">
      <alignment shrinkToFit="0" vertical="center" wrapText="1"/>
    </xf>
    <xf borderId="3" fillId="4" fontId="4" numFmtId="0" xfId="0" applyAlignment="1" applyBorder="1" applyFill="1" applyFont="1">
      <alignment shrinkToFit="0" vertical="center" wrapText="0"/>
    </xf>
    <xf borderId="3" fillId="4" fontId="3" numFmtId="164" xfId="0" applyAlignment="1" applyBorder="1" applyFill="1" applyFont="1" applyNumberFormat="1">
      <alignment horizontal="right" shrinkToFit="0" vertical="center" wrapText="0"/>
    </xf>
    <xf borderId="3" fillId="4" fontId="3" numFmtId="164" xfId="0" applyAlignment="1" applyBorder="1" applyFill="1" applyFont="1" applyNumberFormat="1">
      <alignment horizontal="right" shrinkToFit="0" vertical="center" wrapText="1"/>
    </xf>
    <xf borderId="3" fillId="4" fontId="3" numFmtId="165" xfId="0" applyAlignment="1" applyBorder="1" applyFill="1" applyFont="1" applyNumberFormat="1">
      <alignment horizontal="right" shrinkToFit="0" vertical="center" wrapText="0"/>
    </xf>
    <xf borderId="3" fillId="4" fontId="3" numFmtId="165" xfId="0" applyAlignment="1" applyBorder="1" applyFill="1" applyFont="1" applyNumberFormat="1">
      <alignment horizontal="right" shrinkToFit="0" vertical="center" wrapText="1"/>
    </xf>
    <xf borderId="3" fillId="4" fontId="3" numFmtId="0" xfId="0" applyAlignment="1" applyBorder="1" applyFill="1" applyFont="1">
      <alignment shrinkToFit="0" vertical="center" wrapText="0"/>
    </xf>
    <xf borderId="3" fillId="4" fontId="3" numFmtId="0" xfId="0" applyAlignment="1" applyBorder="1" applyFill="1" applyFont="1">
      <alignment shrinkToFit="0" vertical="center" wrapText="1"/>
    </xf>
    <xf borderId="3" fillId="4" fontId="3" numFmtId="0" xfId="0" applyAlignment="1" applyBorder="1" applyFill="1" applyFont="1">
      <alignment horizontal="right" shrinkToFit="0" vertical="center" wrapText="0"/>
    </xf>
    <xf borderId="3" fillId="4" fontId="3" numFmtId="0" xfId="0" applyAlignment="1" applyBorder="1" applyFill="1" applyFont="1">
      <alignment horizontal="right" shrinkToFit="0" vertical="center" wrapText="1"/>
    </xf>
    <xf borderId="3" fillId="4" fontId="3" numFmtId="3" xfId="0" applyAlignment="1" applyBorder="1" applyFill="1" applyFont="1" applyNumberFormat="1">
      <alignment horizontal="right" shrinkToFit="0" vertical="center" wrapText="0"/>
    </xf>
    <xf borderId="3" fillId="4" fontId="3" numFmtId="3" xfId="0" applyAlignment="1" applyBorder="1" applyFill="1" applyFont="1" applyNumberFormat="1">
      <alignment horizontal="right" shrinkToFit="0" vertical="center" wrapText="1"/>
    </xf>
    <xf borderId="3" fillId="4" fontId="3" numFmtId="10" xfId="0" applyAlignment="1" applyBorder="1" applyFill="1" applyFont="1" applyNumberFormat="1">
      <alignment horizontal="right" shrinkToFit="0" vertical="center" wrapText="0"/>
    </xf>
    <xf borderId="3" fillId="4" fontId="5" numFmtId="0" xfId="0" applyAlignment="1" applyBorder="1" applyFill="1" applyFont="1">
      <alignment shrinkToFit="0" vertical="center" wrapText="0"/>
    </xf>
    <xf borderId="3" fillId="4" fontId="3" numFmtId="10" xfId="0" applyAlignment="1" applyBorder="1" applyFill="1" applyFont="1" applyNumberFormat="1">
      <alignment horizontal="right" shrinkToFit="0" vertical="center" wrapText="1"/>
    </xf>
    <xf borderId="4" fillId="4" fontId="5" numFmtId="0" xfId="0" applyAlignment="1" applyBorder="1" applyFill="1" applyFont="1">
      <alignment shrinkToFit="0" vertical="center" wrapText="0"/>
    </xf>
    <xf borderId="0" fillId="4" fontId="5" numFmtId="0" xfId="0" applyAlignment="1" applyFill="1" applyFont="1">
      <alignment shrinkToFit="0" vertical="center" wrapText="0"/>
    </xf>
    <xf borderId="0" fillId="0" fontId="6" numFmtId="3" xfId="0" applyFont="1" applyNumberFormat="1"/>
    <xf borderId="5" fillId="5" fontId="7" numFmtId="0" xfId="0" applyAlignment="1" applyBorder="1" applyFill="1" applyFont="1">
      <alignment shrinkToFit="0" vertical="center" wrapText="0"/>
    </xf>
    <xf borderId="5" fillId="5" fontId="3" numFmtId="164" xfId="0" applyAlignment="1" applyBorder="1" applyFill="1" applyFont="1" applyNumberFormat="1">
      <alignment horizontal="right" shrinkToFit="0" vertical="center" wrapText="0"/>
    </xf>
    <xf borderId="5" fillId="5" fontId="3" numFmtId="164" xfId="0" applyAlignment="1" applyBorder="1" applyFill="1" applyFont="1" applyNumberFormat="1">
      <alignment horizontal="right" shrinkToFit="0" vertical="center" wrapText="1"/>
    </xf>
    <xf borderId="5" fillId="5" fontId="3" numFmtId="165" xfId="0" applyAlignment="1" applyBorder="1" applyFill="1" applyFont="1" applyNumberFormat="1">
      <alignment horizontal="right" shrinkToFit="0" vertical="center" wrapText="0"/>
    </xf>
    <xf borderId="5" fillId="5" fontId="3" numFmtId="165" xfId="0" applyAlignment="1" applyBorder="1" applyFill="1" applyFont="1" applyNumberFormat="1">
      <alignment horizontal="right" shrinkToFit="0" vertical="center" wrapText="1"/>
    </xf>
    <xf borderId="5" fillId="5" fontId="3" numFmtId="0" xfId="0" applyAlignment="1" applyBorder="1" applyFill="1" applyFont="1">
      <alignment shrinkToFit="0" vertical="center" wrapText="0"/>
    </xf>
    <xf borderId="5" fillId="5" fontId="3" numFmtId="0" xfId="0" applyAlignment="1" applyBorder="1" applyFill="1" applyFont="1">
      <alignment shrinkToFit="0" vertical="center" wrapText="1"/>
    </xf>
    <xf borderId="5" fillId="5" fontId="3" numFmtId="0" xfId="0" applyAlignment="1" applyBorder="1" applyFill="1" applyFont="1">
      <alignment horizontal="right" shrinkToFit="0" vertical="center" wrapText="1"/>
    </xf>
    <xf borderId="5" fillId="5" fontId="3" numFmtId="0" xfId="0" applyAlignment="1" applyBorder="1" applyFill="1" applyFont="1">
      <alignment horizontal="right" shrinkToFit="0" vertical="center" wrapText="0"/>
    </xf>
    <xf borderId="5" fillId="5" fontId="3" numFmtId="3" xfId="0" applyAlignment="1" applyBorder="1" applyFill="1" applyFont="1" applyNumberFormat="1">
      <alignment horizontal="right" shrinkToFit="0" vertical="center" wrapText="0"/>
    </xf>
    <xf borderId="5" fillId="5" fontId="3" numFmtId="3" xfId="0" applyAlignment="1" applyBorder="1" applyFill="1" applyFont="1" applyNumberFormat="1">
      <alignment horizontal="right" shrinkToFit="0" vertical="center" wrapText="1"/>
    </xf>
    <xf borderId="5" fillId="5" fontId="3" numFmtId="10" xfId="0" applyAlignment="1" applyBorder="1" applyFill="1" applyFont="1" applyNumberFormat="1">
      <alignment horizontal="right" readingOrder="0" shrinkToFit="0" vertical="center" wrapText="0"/>
    </xf>
    <xf borderId="5" fillId="5" fontId="3" numFmtId="10" xfId="0" applyAlignment="1" applyBorder="1" applyFill="1" applyFont="1" applyNumberFormat="1">
      <alignment horizontal="right" shrinkToFit="0" vertical="center" wrapText="1"/>
    </xf>
    <xf borderId="5" fillId="5" fontId="3" numFmtId="10" xfId="0" applyAlignment="1" applyBorder="1" applyFill="1" applyFont="1" applyNumberFormat="1">
      <alignment horizontal="right" shrinkToFit="0" vertical="center" wrapText="0"/>
    </xf>
    <xf borderId="5" fillId="5" fontId="5" numFmtId="0" xfId="0" applyAlignment="1" applyBorder="1" applyFill="1" applyFont="1">
      <alignment shrinkToFit="0" vertical="center" wrapText="0"/>
    </xf>
    <xf borderId="6" fillId="5" fontId="5" numFmtId="0" xfId="0" applyAlignment="1" applyBorder="1" applyFill="1" applyFont="1">
      <alignment shrinkToFit="0" vertical="center" wrapText="0"/>
    </xf>
    <xf borderId="0" fillId="5" fontId="5" numFmtId="0" xfId="0" applyAlignment="1" applyFill="1" applyFont="1">
      <alignment shrinkToFit="0" vertical="center" wrapText="0"/>
    </xf>
    <xf borderId="7" fillId="3" fontId="3" numFmtId="0" xfId="0" applyAlignment="1" applyBorder="1" applyFill="1" applyFont="1">
      <alignment shrinkToFit="0" vertical="center" wrapText="1"/>
    </xf>
    <xf borderId="8" fillId="4" fontId="8" numFmtId="0" xfId="0" applyAlignment="1" applyBorder="1" applyFill="1" applyFont="1">
      <alignment shrinkToFit="0" vertical="center" wrapText="0"/>
    </xf>
    <xf borderId="8" fillId="4" fontId="3" numFmtId="164" xfId="0" applyAlignment="1" applyBorder="1" applyFill="1" applyFont="1" applyNumberFormat="1">
      <alignment horizontal="right" shrinkToFit="0" vertical="center" wrapText="1"/>
    </xf>
    <xf borderId="8" fillId="4" fontId="3" numFmtId="165" xfId="0" applyAlignment="1" applyBorder="1" applyFill="1" applyFont="1" applyNumberFormat="1">
      <alignment horizontal="right" shrinkToFit="0" vertical="center" wrapText="1"/>
    </xf>
    <xf borderId="8" fillId="4" fontId="3" numFmtId="0" xfId="0" applyAlignment="1" applyBorder="1" applyFill="1" applyFont="1">
      <alignment shrinkToFit="0" vertical="center" wrapText="1"/>
    </xf>
    <xf borderId="8" fillId="4" fontId="3" numFmtId="0" xfId="0" applyAlignment="1" applyBorder="1" applyFill="1" applyFont="1">
      <alignment horizontal="right" shrinkToFit="0" vertical="center" wrapText="1"/>
    </xf>
    <xf borderId="8" fillId="4" fontId="3" numFmtId="3" xfId="0" applyAlignment="1" applyBorder="1" applyFill="1" applyFont="1" applyNumberFormat="1">
      <alignment horizontal="right" shrinkToFit="0" vertical="center" wrapText="1"/>
    </xf>
    <xf borderId="8" fillId="4" fontId="3" numFmtId="10" xfId="0" applyAlignment="1" applyBorder="1" applyFill="1" applyFont="1" applyNumberFormat="1">
      <alignment horizontal="right" shrinkToFit="0" vertical="center" wrapText="1"/>
    </xf>
    <xf borderId="9" fillId="4" fontId="5" numFmtId="0" xfId="0" applyAlignment="1" applyBorder="1" applyFill="1" applyFont="1">
      <alignment shrinkToFit="0" vertical="center" wrapText="0"/>
    </xf>
    <xf borderId="0" fillId="3" fontId="5" numFmtId="0" xfId="0" applyAlignment="1" applyFill="1" applyFont="1">
      <alignment shrinkToFit="0" vertical="bottom" wrapText="1"/>
    </xf>
    <xf borderId="10" fillId="5" fontId="3" numFmtId="0" xfId="0" applyAlignment="1" applyBorder="1" applyFill="1" applyFont="1">
      <alignment shrinkToFit="0" vertical="center" wrapText="0"/>
    </xf>
    <xf borderId="0" fillId="0" fontId="9" numFmtId="0" xfId="0" applyAlignment="1" applyFon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1"/>
    </xf>
    <xf borderId="11" fillId="5" fontId="10" numFmtId="0" xfId="0" applyAlignment="1" applyBorder="1" applyFill="1" applyFont="1">
      <alignment shrinkToFit="0" vertical="center" wrapText="0"/>
    </xf>
    <xf borderId="0" fillId="0" fontId="5" numFmtId="165" xfId="0" applyAlignment="1" applyFont="1" applyNumberFormat="1">
      <alignment horizontal="right"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horizontal="right" shrinkToFit="0" vertical="bottom" wrapText="1"/>
    </xf>
    <xf borderId="11" fillId="5" fontId="3" numFmtId="164" xfId="0" applyAlignment="1" applyBorder="1" applyFill="1" applyFont="1" applyNumberFormat="1">
      <alignment horizontal="right" shrinkToFit="0" vertical="center" wrapText="0"/>
    </xf>
    <xf borderId="11" fillId="5" fontId="3" numFmtId="165" xfId="0" applyAlignment="1" applyBorder="1" applyFill="1" applyFont="1" applyNumberFormat="1">
      <alignment horizontal="right" shrinkToFit="0" vertical="center" wrapText="0"/>
    </xf>
    <xf borderId="0" fillId="0" fontId="5" numFmtId="3" xfId="0" applyAlignment="1" applyFont="1" applyNumberFormat="1">
      <alignment horizontal="right" shrinkToFit="0" vertical="bottom" wrapText="1"/>
    </xf>
    <xf borderId="11" fillId="5" fontId="3" numFmtId="0" xfId="0" applyAlignment="1" applyBorder="1" applyFill="1" applyFont="1">
      <alignment shrinkToFit="0" vertical="center" wrapText="0"/>
    </xf>
    <xf borderId="3" fillId="4" fontId="3" numFmtId="10" xfId="0" applyAlignment="1" applyBorder="1" applyFill="1" applyFont="1" applyNumberFormat="1">
      <alignment horizontal="right" shrinkToFit="0" wrapText="1"/>
    </xf>
    <xf borderId="11" fillId="5" fontId="3" numFmtId="0" xfId="0" applyAlignment="1" applyBorder="1" applyFill="1" applyFont="1">
      <alignment shrinkToFit="0" vertical="center" wrapText="1"/>
    </xf>
    <xf borderId="0" fillId="0" fontId="5" numFmtId="10" xfId="0" applyAlignment="1" applyFont="1" applyNumberFormat="1">
      <alignment horizontal="right" shrinkToFit="0" vertical="bottom" wrapText="1"/>
    </xf>
    <xf borderId="0" fillId="0" fontId="5" numFmtId="0" xfId="0" applyAlignment="1" applyFont="1">
      <alignment vertical="bottom"/>
    </xf>
    <xf borderId="11" fillId="5" fontId="3" numFmtId="0" xfId="0" applyAlignment="1" applyBorder="1" applyFill="1" applyFont="1">
      <alignment horizontal="right" shrinkToFit="0" vertical="center" wrapText="0"/>
    </xf>
    <xf borderId="0" fillId="0" fontId="11" numFmtId="164" xfId="0" applyAlignment="1" applyFont="1" applyNumberFormat="1">
      <alignment shrinkToFit="0" vertical="bottom" wrapText="1"/>
    </xf>
    <xf borderId="11" fillId="5" fontId="3" numFmtId="10" xfId="0" applyAlignment="1" applyBorder="1" applyFill="1" applyFont="1" applyNumberFormat="1">
      <alignment horizontal="right" shrinkToFit="0" vertical="center" wrapText="0"/>
    </xf>
    <xf borderId="7" fillId="3" fontId="3" numFmtId="0" xfId="0" applyAlignment="1" applyBorder="1" applyFill="1" applyFont="1">
      <alignment shrinkToFit="0" vertical="center" wrapText="0"/>
    </xf>
    <xf borderId="11" fillId="5" fontId="5" numFmtId="0" xfId="0" applyAlignment="1" applyBorder="1" applyFill="1" applyFont="1">
      <alignment shrinkToFit="0" vertical="center" wrapText="0"/>
    </xf>
    <xf borderId="12" fillId="5" fontId="5" numFmtId="0" xfId="0" applyAlignment="1" applyBorder="1" applyFill="1" applyFont="1">
      <alignment shrinkToFit="0" vertical="center" wrapText="0"/>
    </xf>
    <xf borderId="0" fillId="0" fontId="6" numFmtId="0" xfId="0" applyAlignment="1" applyFont="1">
      <alignment shrinkToFit="0" wrapText="0"/>
    </xf>
    <xf borderId="8" fillId="4" fontId="3" numFmtId="164" xfId="0" applyAlignment="1" applyBorder="1" applyFill="1" applyFont="1" applyNumberFormat="1">
      <alignment horizontal="right" shrinkToFit="0" vertical="center" wrapText="0"/>
    </xf>
    <xf borderId="0" fillId="0" fontId="5" numFmtId="3" xfId="0" applyAlignment="1" applyFont="1" applyNumberFormat="1">
      <alignment horizontal="right" readingOrder="0" shrinkToFit="0" vertical="bottom" wrapText="1"/>
    </xf>
    <xf borderId="8" fillId="4" fontId="3" numFmtId="165" xfId="0" applyAlignment="1" applyBorder="1" applyFill="1" applyFont="1" applyNumberFormat="1">
      <alignment horizontal="right" shrinkToFit="0" vertical="center" wrapText="0"/>
    </xf>
    <xf borderId="8" fillId="4" fontId="3" numFmtId="0" xfId="0" applyAlignment="1" applyBorder="1" applyFill="1" applyFont="1">
      <alignment shrinkToFit="0" vertical="center" wrapText="0"/>
    </xf>
    <xf borderId="8" fillId="4" fontId="3" numFmtId="3" xfId="0" applyAlignment="1" applyBorder="1" applyFill="1" applyFont="1" applyNumberFormat="1">
      <alignment horizontal="right" shrinkToFit="0" vertical="center" wrapText="0"/>
    </xf>
    <xf borderId="8" fillId="4" fontId="3" numFmtId="0" xfId="0" applyAlignment="1" applyBorder="1" applyFill="1" applyFont="1">
      <alignment horizontal="right" shrinkToFit="0" vertical="center" wrapText="0"/>
    </xf>
    <xf borderId="8" fillId="4" fontId="3" numFmtId="10" xfId="0" applyAlignment="1" applyBorder="1" applyFill="1" applyFont="1" applyNumberFormat="1">
      <alignment horizontal="right" shrinkToFit="0" vertical="center" wrapText="0"/>
    </xf>
    <xf borderId="8" fillId="4" fontId="5" numFmtId="0" xfId="0" applyAlignment="1" applyBorder="1" applyFill="1" applyFont="1">
      <alignment shrinkToFit="0" vertical="center" wrapText="0"/>
    </xf>
    <xf borderId="0" fillId="3" fontId="5" numFmtId="0" xfId="0" applyAlignment="1" applyFill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0" xfId="0" applyAlignment="1" applyFont="1" applyNumberFormat="1">
      <alignment horizontal="right" vertical="bottom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horizontal="righ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horizontal="right" readingOrder="0" shrinkToFit="0" vertical="center" wrapText="0"/>
    </xf>
    <xf borderId="0" fillId="0" fontId="6" numFmtId="3" xfId="0" applyAlignment="1" applyFont="1" applyNumberFormat="1">
      <alignment horizontal="right" readingOrder="0" shrinkToFit="0" vertical="center" wrapText="0"/>
    </xf>
    <xf borderId="0" fillId="0" fontId="6" numFmtId="10" xfId="0" applyAlignment="1" applyFont="1" applyNumberFormat="1">
      <alignment horizontal="right" readingOrder="0" shrinkToFit="0" vertical="center" wrapText="0"/>
    </xf>
    <xf borderId="0" fillId="0" fontId="6" numFmtId="10" xfId="0" applyAlignment="1" applyFont="1" applyNumberFormat="1">
      <alignment readingOrder="0" shrinkToFit="0" vertical="center" wrapText="0"/>
    </xf>
    <xf borderId="0" fillId="0" fontId="16" numFmtId="0" xfId="0" applyAlignment="1" applyFont="1">
      <alignment horizontal="center" readingOrder="0"/>
    </xf>
    <xf borderId="0" fillId="0" fontId="6" numFmtId="0" xfId="0" applyFont="1"/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10" xfId="0" applyAlignment="1" applyFont="1" applyNumberFormat="1">
      <alignment shrinkToFit="0" vertical="center" wrapText="0"/>
    </xf>
    <xf borderId="0" fillId="0" fontId="6" numFmtId="0" xfId="0" applyAlignment="1" applyFont="1">
      <alignment horizontal="right" shrinkToFit="0" vertical="center" wrapText="0"/>
    </xf>
    <xf borderId="0" fillId="0" fontId="15" numFmtId="0" xfId="0" applyFont="1"/>
    <xf borderId="0" fillId="0" fontId="6" numFmtId="166" xfId="0" applyAlignment="1" applyFont="1" applyNumberFormat="1">
      <alignment readingOrder="0" shrinkToFit="0" vertical="center" wrapText="0"/>
    </xf>
    <xf borderId="0" fillId="0" fontId="17" numFmtId="0" xfId="0" applyAlignment="1" applyFont="1">
      <alignment readingOrder="0"/>
    </xf>
    <xf borderId="0" fillId="0" fontId="15" numFmtId="0" xfId="0" applyAlignment="1" applyFont="1">
      <alignment horizontal="left" readingOrder="0" shrinkToFit="0" vertical="center" wrapText="0"/>
    </xf>
    <xf borderId="0" fillId="0" fontId="6" numFmtId="3" xfId="0" applyAlignment="1" applyFont="1" applyNumberFormat="1">
      <alignment readingOrder="0" shrinkToFit="0" vertical="center" wrapText="0"/>
    </xf>
    <xf borderId="0" fillId="0" fontId="18" numFmtId="0" xfId="0" applyAlignment="1" applyFont="1">
      <alignment readingOrder="0"/>
    </xf>
    <xf borderId="0" fillId="0" fontId="13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6">
    <tableStyle count="4" pivot="0" name="LINKED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CEBOO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KTO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WIT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s-style">
      <tableStyleElement dxfId="1" type="headerRow"/>
      <tableStyleElement dxfId="2" type="firstRowStripe"/>
      <tableStyleElement dxfId="2" type="secondRowStripe"/>
      <tableStyleElement dxfId="4" size="0" type="wholeTable"/>
    </tableStyle>
    <tableStyle count="4" pivot="0" name="Table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s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s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s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s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s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s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s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s-style 1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Engagement by Platform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Tables!$H$6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0B5394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38761D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A61C0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F6B26B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Tables!$A$7:$A$11</c:f>
            </c:strRef>
          </c:cat>
          <c:val>
            <c:numRef>
              <c:f>Tables!$H$7:$H$11</c:f>
              <c:numCache/>
            </c:numRef>
          </c:val>
        </c:ser>
        <c:axId val="942730192"/>
        <c:axId val="1744680114"/>
      </c:barChart>
      <c:catAx>
        <c:axId val="942730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4680114"/>
      </c:catAx>
      <c:valAx>
        <c:axId val="17446801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27301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Average Engagement Rate by Format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Tables!$M$6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0B5394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3D85C6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9FC5E8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Tables!$L$7:$L$11</c:f>
            </c:strRef>
          </c:cat>
          <c:val>
            <c:numRef>
              <c:f>Tables!$M$7:$M$11</c:f>
              <c:numCache/>
            </c:numRef>
          </c:val>
        </c:ser>
        <c:axId val="1092789790"/>
        <c:axId val="1492535724"/>
      </c:barChart>
      <c:catAx>
        <c:axId val="10927897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2535724"/>
      </c:catAx>
      <c:valAx>
        <c:axId val="14925357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278979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Average Engagement Rate by Topic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Tables!$B$15</c:f>
            </c:strRef>
          </c:tx>
          <c:spPr>
            <a:solidFill>
              <a:srgbClr val="0B539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Tables!$A$16:$A$33</c:f>
            </c:strRef>
          </c:cat>
          <c:val>
            <c:numRef>
              <c:f>Tables!$B$16:$B$33</c:f>
              <c:numCache/>
            </c:numRef>
          </c:val>
        </c:ser>
        <c:axId val="753832998"/>
        <c:axId val="1632778101"/>
      </c:barChart>
      <c:catAx>
        <c:axId val="75383299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2778101"/>
      </c:catAx>
      <c:valAx>
        <c:axId val="16327781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383299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Top &amp; Bottom Performing Posts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Tables!$M$15</c:f>
            </c:strRef>
          </c:tx>
          <c:spPr>
            <a:solidFill>
              <a:srgbClr val="0B5394"/>
            </a:solidFill>
            <a:ln cmpd="sng">
              <a:noFill/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Tables!$L$16:$L$25</c:f>
            </c:strRef>
          </c:cat>
          <c:val>
            <c:numRef>
              <c:f>Tables!$M$16:$M$25</c:f>
              <c:numCache/>
            </c:numRef>
          </c:val>
        </c:ser>
        <c:ser>
          <c:idx val="1"/>
          <c:order val="1"/>
          <c:tx>
            <c:strRef>
              <c:f>Tables!$N$15</c:f>
            </c:strRef>
          </c:tx>
          <c:spPr>
            <a:solidFill>
              <a:srgbClr val="A61C00"/>
            </a:solidFill>
            <a:ln cmpd="sng">
              <a:noFill/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Tables!$L$16:$L$25</c:f>
            </c:strRef>
          </c:cat>
          <c:val>
            <c:numRef>
              <c:f>Tables!$N$16:$N$25</c:f>
              <c:numCache/>
            </c:numRef>
          </c:val>
        </c:ser>
        <c:axId val="1907764885"/>
        <c:axId val="433262742"/>
      </c:barChart>
      <c:catAx>
        <c:axId val="19077648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3262742"/>
      </c:catAx>
      <c:valAx>
        <c:axId val="4332627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776488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Engagement Rate by Content Type and Platform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Tables!$E$28</c:f>
            </c:strRef>
          </c:tx>
          <c:spPr>
            <a:solidFill>
              <a:srgbClr val="0B539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Tables!$D$29:$D$33</c:f>
            </c:strRef>
          </c:cat>
          <c:val>
            <c:numRef>
              <c:f>Tables!$E$29:$E$33</c:f>
              <c:numCache/>
            </c:numRef>
          </c:val>
        </c:ser>
        <c:ser>
          <c:idx val="1"/>
          <c:order val="1"/>
          <c:tx>
            <c:strRef>
              <c:f>Tables!$F$28</c:f>
            </c:strRef>
          </c:tx>
          <c:spPr>
            <a:solidFill>
              <a:srgbClr val="38761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Tables!$D$29:$D$33</c:f>
            </c:strRef>
          </c:cat>
          <c:val>
            <c:numRef>
              <c:f>Tables!$F$29:$F$33</c:f>
              <c:numCache/>
            </c:numRef>
          </c:val>
        </c:ser>
        <c:ser>
          <c:idx val="2"/>
          <c:order val="2"/>
          <c:tx>
            <c:strRef>
              <c:f>Tables!$G$28</c:f>
            </c:strRef>
          </c:tx>
          <c:spPr>
            <a:solidFill>
              <a:srgbClr val="A61C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Tables!$D$29:$D$33</c:f>
            </c:strRef>
          </c:cat>
          <c:val>
            <c:numRef>
              <c:f>Tables!$G$29:$G$33</c:f>
              <c:numCache/>
            </c:numRef>
          </c:val>
        </c:ser>
        <c:ser>
          <c:idx val="3"/>
          <c:order val="3"/>
          <c:tx>
            <c:strRef>
              <c:f>Tables!$H$28</c:f>
            </c:strRef>
          </c:tx>
          <c:spPr>
            <a:solidFill>
              <a:srgbClr val="E69138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Tables!$D$29:$D$33</c:f>
            </c:strRef>
          </c:cat>
          <c:val>
            <c:numRef>
              <c:f>Tables!$H$29:$H$33</c:f>
              <c:numCache/>
            </c:numRef>
          </c:val>
        </c:ser>
        <c:axId val="78639492"/>
        <c:axId val="1499922394"/>
      </c:barChart>
      <c:catAx>
        <c:axId val="786394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9922394"/>
      </c:catAx>
      <c:valAx>
        <c:axId val="1499922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6394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Weekly Impressions and Engagement Rate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Tables!$K$28</c:f>
            </c:strRef>
          </c:tx>
          <c:spPr>
            <a:solidFill>
              <a:srgbClr val="0B539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Tables!$J$29:$J$33</c:f>
            </c:strRef>
          </c:cat>
          <c:val>
            <c:numRef>
              <c:f>Tables!$K$29:$K$33</c:f>
              <c:numCache/>
            </c:numRef>
          </c:val>
        </c:ser>
        <c:axId val="1308819835"/>
        <c:axId val="601287267"/>
      </c:barChart>
      <c:catAx>
        <c:axId val="13088198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1287267"/>
      </c:catAx>
      <c:valAx>
        <c:axId val="601287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8819835"/>
      </c:valAx>
      <c:lineChart>
        <c:varyColors val="0"/>
        <c:ser>
          <c:idx val="1"/>
          <c:order val="1"/>
          <c:tx>
            <c:strRef>
              <c:f>Tables!$L$28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Tables!$J$29:$J$33</c:f>
            </c:strRef>
          </c:cat>
          <c:val>
            <c:numRef>
              <c:f>Tables!$L$29:$L$33</c:f>
              <c:numCache/>
            </c:numRef>
          </c:val>
          <c:smooth val="0"/>
        </c:ser>
        <c:axId val="1634267666"/>
        <c:axId val="1391231475"/>
      </c:lineChart>
      <c:catAx>
        <c:axId val="163426766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1231475"/>
      </c:catAx>
      <c:valAx>
        <c:axId val="139123147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426766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57575"/>
                </a:solidFill>
                <a:latin typeface="+mn-lt"/>
              </a:defRPr>
            </a:pPr>
            <a:r>
              <a:rPr b="1" sz="2400">
                <a:solidFill>
                  <a:srgbClr val="757575"/>
                </a:solidFill>
                <a:latin typeface="+mn-lt"/>
              </a:rPr>
              <a:t>Total Audience by Competitor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Tables!$B$87</c:f>
            </c:strRef>
          </c:tx>
          <c:spPr>
            <a:solidFill>
              <a:srgbClr val="0B539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Tables!$A$88:$A$110</c:f>
            </c:strRef>
          </c:cat>
          <c:val>
            <c:numRef>
              <c:f>Tables!$B$88:$B$110</c:f>
              <c:numCache/>
            </c:numRef>
          </c:val>
        </c:ser>
        <c:axId val="323339124"/>
        <c:axId val="771050733"/>
      </c:barChart>
      <c:catAx>
        <c:axId val="3233391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1050733"/>
      </c:catAx>
      <c:valAx>
        <c:axId val="7710507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333912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57575"/>
                </a:solidFill>
                <a:latin typeface="+mn-lt"/>
              </a:defRPr>
            </a:pPr>
            <a:r>
              <a:rPr b="1" sz="2400">
                <a:solidFill>
                  <a:srgbClr val="757575"/>
                </a:solidFill>
                <a:latin typeface="+mn-lt"/>
              </a:rPr>
              <a:t>Active Platforms by Competitor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Tables!$E$87</c:f>
            </c:strRef>
          </c:tx>
          <c:spPr>
            <a:solidFill>
              <a:srgbClr val="0B539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Tables!$D$88:$D$111</c:f>
            </c:strRef>
          </c:cat>
          <c:val>
            <c:numRef>
              <c:f>Tables!$E$88:$E$111</c:f>
              <c:numCache/>
            </c:numRef>
          </c:val>
        </c:ser>
        <c:axId val="2050345150"/>
        <c:axId val="21288442"/>
      </c:barChart>
      <c:catAx>
        <c:axId val="20503451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88442"/>
      </c:catAx>
      <c:valAx>
        <c:axId val="212884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034515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57575"/>
                </a:solidFill>
                <a:latin typeface="+mn-lt"/>
              </a:defRPr>
            </a:pPr>
            <a:r>
              <a:rPr b="1" sz="2400">
                <a:solidFill>
                  <a:srgbClr val="757575"/>
                </a:solidFill>
                <a:latin typeface="+mn-lt"/>
              </a:rPr>
              <a:t>Competitor Posting Frequency by Platform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Tables!$B$59</c:f>
            </c:strRef>
          </c:tx>
          <c:spPr>
            <a:solidFill>
              <a:srgbClr val="0B5394"/>
            </a:solidFill>
            <a:ln cmpd="sng">
              <a:noFill/>
            </a:ln>
          </c:spPr>
          <c:cat>
            <c:strRef>
              <c:f>Tables!$A$60:$A$83</c:f>
            </c:strRef>
          </c:cat>
          <c:val>
            <c:numRef>
              <c:f>Tables!$B$60:$B$83</c:f>
              <c:numCache/>
            </c:numRef>
          </c:val>
        </c:ser>
        <c:ser>
          <c:idx val="1"/>
          <c:order val="1"/>
          <c:tx>
            <c:strRef>
              <c:f>Tables!$C$59</c:f>
            </c:strRef>
          </c:tx>
          <c:spPr>
            <a:solidFill>
              <a:srgbClr val="38761D"/>
            </a:solidFill>
            <a:ln cmpd="sng">
              <a:noFill/>
            </a:ln>
          </c:spPr>
          <c:cat>
            <c:strRef>
              <c:f>Tables!$A$60:$A$83</c:f>
            </c:strRef>
          </c:cat>
          <c:val>
            <c:numRef>
              <c:f>Tables!$C$60:$C$83</c:f>
              <c:numCache/>
            </c:numRef>
          </c:val>
        </c:ser>
        <c:ser>
          <c:idx val="2"/>
          <c:order val="2"/>
          <c:tx>
            <c:strRef>
              <c:f>Tables!$D$59</c:f>
            </c:strRef>
          </c:tx>
          <c:spPr>
            <a:solidFill>
              <a:srgbClr val="85200C"/>
            </a:solidFill>
            <a:ln cmpd="sng">
              <a:noFill/>
            </a:ln>
          </c:spPr>
          <c:cat>
            <c:strRef>
              <c:f>Tables!$A$60:$A$83</c:f>
            </c:strRef>
          </c:cat>
          <c:val>
            <c:numRef>
              <c:f>Tables!$D$60:$D$83</c:f>
              <c:numCache/>
            </c:numRef>
          </c:val>
        </c:ser>
        <c:ser>
          <c:idx val="3"/>
          <c:order val="3"/>
          <c:tx>
            <c:strRef>
              <c:f>Tables!$E$59</c:f>
            </c:strRef>
          </c:tx>
          <c:spPr>
            <a:solidFill>
              <a:srgbClr val="FFD966"/>
            </a:solidFill>
            <a:ln cmpd="sng">
              <a:noFill/>
            </a:ln>
          </c:spPr>
          <c:cat>
            <c:strRef>
              <c:f>Tables!$A$60:$A$83</c:f>
            </c:strRef>
          </c:cat>
          <c:val>
            <c:numRef>
              <c:f>Tables!$E$60:$E$83</c:f>
              <c:numCache/>
            </c:numRef>
          </c:val>
        </c:ser>
        <c:ser>
          <c:idx val="4"/>
          <c:order val="4"/>
          <c:tx>
            <c:strRef>
              <c:f>Tables!$F$59</c:f>
            </c:strRef>
          </c:tx>
          <c:spPr>
            <a:solidFill>
              <a:srgbClr val="B45F06"/>
            </a:solidFill>
            <a:ln cmpd="sng">
              <a:noFill/>
            </a:ln>
          </c:spPr>
          <c:cat>
            <c:strRef>
              <c:f>Tables!$A$60:$A$83</c:f>
            </c:strRef>
          </c:cat>
          <c:val>
            <c:numRef>
              <c:f>Tables!$F$60:$F$83</c:f>
              <c:numCache/>
            </c:numRef>
          </c:val>
        </c:ser>
        <c:ser>
          <c:idx val="5"/>
          <c:order val="5"/>
          <c:tx>
            <c:strRef>
              <c:f>Tables!$G$59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Tables!$A$60:$A$83</c:f>
            </c:strRef>
          </c:cat>
          <c:val>
            <c:numRef>
              <c:f>Tables!$G$60:$G$83</c:f>
              <c:numCache/>
            </c:numRef>
          </c:val>
        </c:ser>
        <c:overlap val="100"/>
        <c:axId val="1032320354"/>
        <c:axId val="453464564"/>
      </c:barChart>
      <c:catAx>
        <c:axId val="10323203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3464564"/>
      </c:catAx>
      <c:valAx>
        <c:axId val="4534645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232035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57575"/>
                </a:solidFill>
                <a:latin typeface="+mn-lt"/>
              </a:defRPr>
            </a:pPr>
            <a:r>
              <a:rPr b="1" sz="2400">
                <a:solidFill>
                  <a:srgbClr val="757575"/>
                </a:solidFill>
                <a:latin typeface="+mn-lt"/>
              </a:rPr>
              <a:t>Afriment Audience vs Competitor Median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Tables!$H$87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Tables!$G$88:$G$93</c:f>
            </c:strRef>
          </c:cat>
          <c:val>
            <c:numRef>
              <c:f>Tables!$H$88:$H$93</c:f>
              <c:numCache/>
            </c:numRef>
          </c:val>
        </c:ser>
        <c:ser>
          <c:idx val="1"/>
          <c:order val="1"/>
          <c:tx>
            <c:strRef>
              <c:f>Tables!$I$87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Tables!$G$88:$G$93</c:f>
            </c:strRef>
          </c:cat>
          <c:val>
            <c:numRef>
              <c:f>Tables!$I$88:$I$93</c:f>
              <c:numCache/>
            </c:numRef>
          </c:val>
        </c:ser>
        <c:ser>
          <c:idx val="2"/>
          <c:order val="2"/>
          <c:tx>
            <c:strRef>
              <c:f>Tables!$J$87</c:f>
            </c:strRef>
          </c:tx>
          <c:cat>
            <c:strRef>
              <c:f>Tables!$G$88:$G$93</c:f>
            </c:strRef>
          </c:cat>
          <c:val>
            <c:numRef>
              <c:f>Tables!$J$88:$J$93</c:f>
              <c:numCache/>
            </c:numRef>
          </c:val>
        </c:ser>
        <c:axId val="1811197662"/>
        <c:axId val="317592860"/>
      </c:barChart>
      <c:catAx>
        <c:axId val="1811197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7592860"/>
      </c:catAx>
      <c:valAx>
        <c:axId val="3175928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11976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161925</xdr:rowOff>
    </xdr:from>
    <xdr:ext cx="78105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933450</xdr:colOff>
      <xdr:row>26</xdr:row>
      <xdr:rowOff>161925</xdr:rowOff>
    </xdr:from>
    <xdr:ext cx="7620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952500</xdr:colOff>
      <xdr:row>45</xdr:row>
      <xdr:rowOff>190500</xdr:rowOff>
    </xdr:from>
    <xdr:ext cx="8124825" cy="81343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45</xdr:row>
      <xdr:rowOff>190500</xdr:rowOff>
    </xdr:from>
    <xdr:ext cx="8696325" cy="81343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2</xdr:row>
      <xdr:rowOff>190500</xdr:rowOff>
    </xdr:from>
    <xdr:ext cx="16230600" cy="43243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88</xdr:row>
      <xdr:rowOff>19050</xdr:rowOff>
    </xdr:from>
    <xdr:ext cx="12506325" cy="60864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123</xdr:row>
      <xdr:rowOff>190500</xdr:rowOff>
    </xdr:from>
    <xdr:ext cx="9334500" cy="91630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904875</xdr:colOff>
      <xdr:row>123</xdr:row>
      <xdr:rowOff>190500</xdr:rowOff>
    </xdr:from>
    <xdr:ext cx="10648950" cy="91630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172</xdr:row>
      <xdr:rowOff>200025</xdr:rowOff>
    </xdr:from>
    <xdr:ext cx="11963400" cy="97821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13</xdr:col>
      <xdr:colOff>952500</xdr:colOff>
      <xdr:row>172</xdr:row>
      <xdr:rowOff>200025</xdr:rowOff>
    </xdr:from>
    <xdr:ext cx="8648700" cy="57435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6" displayName="Table1" name="Table1" id="1">
  <tableColumns count="18">
    <tableColumn name="Platform" id="1"/>
    <tableColumn name="Post ID/Link" id="2"/>
    <tableColumn name="Date Posted" id="3"/>
    <tableColumn name="Time Posted" id="4"/>
    <tableColumn name="Content Type" id="5"/>
    <tableColumn name="Topic" id="6"/>
    <tableColumn name="Format" id="7"/>
    <tableColumn name="Impression" id="8"/>
    <tableColumn name="Reach" id="9"/>
    <tableColumn name="Likes" id="10"/>
    <tableColumn name="Shares" id="11"/>
    <tableColumn name="Comments " id="12"/>
    <tableColumn name="Engagement" id="13"/>
    <tableColumn name="Engagement rate" id="14"/>
    <tableColumn name="CTR" id="15"/>
    <tableColumn name="New Follower" id="16"/>
    <tableColumn name="Conversion Rate " id="17"/>
    <tableColumn name="Column 1" id="18"/>
  </tableColumns>
  <tableStyleInfo name="LINKEDIN-style" showColumnStripes="0" showFirstColumn="1" showLastColumn="1" showRowStripes="1"/>
</table>
</file>

<file path=xl/tables/table2.xml><?xml version="1.0" encoding="utf-8"?>
<table xmlns="http://schemas.openxmlformats.org/spreadsheetml/2006/main" ref="A1:R9" displayName="Table2" name="Table2" id="2">
  <tableColumns count="18">
    <tableColumn name="Platform" id="1"/>
    <tableColumn name="Post ID/Link" id="2"/>
    <tableColumn name="Date Posted" id="3"/>
    <tableColumn name="Time Posted" id="4"/>
    <tableColumn name="Content Type" id="5"/>
    <tableColumn name="Topic" id="6"/>
    <tableColumn name="Format" id="7"/>
    <tableColumn name="Impression" id="8"/>
    <tableColumn name="Reach" id="9"/>
    <tableColumn name="Saves" id="10"/>
    <tableColumn name="Shares" id="11"/>
    <tableColumn name="Likes" id="12"/>
    <tableColumn name="Comments " id="13"/>
    <tableColumn name="Engagements " id="14"/>
    <tableColumn name="Engagement rate" id="15"/>
    <tableColumn name="CTR" id="16"/>
    <tableColumn name="Follower growth" id="17"/>
    <tableColumn name="Conversion Rate" id="18"/>
  </tableColumns>
  <tableStyleInfo name="FACEBOOK-style" showColumnStripes="0" showFirstColumn="1" showLastColumn="1" showRowStripes="1"/>
</table>
</file>

<file path=xl/tables/table3.xml><?xml version="1.0" encoding="utf-8"?>
<table xmlns="http://schemas.openxmlformats.org/spreadsheetml/2006/main" ref="A1:Q8" displayName="Table3" name="Table3" id="4">
  <tableColumns count="17">
    <tableColumn name="Platform" id="1"/>
    <tableColumn name="Post ID/Link" id="2"/>
    <tableColumn name="Date Posted" id="3"/>
    <tableColumn name="Time Posted" id="4"/>
    <tableColumn name="Content Type" id="5"/>
    <tableColumn name="Topic" id="6"/>
    <tableColumn name="Format" id="7"/>
    <tableColumn name="Impression" id="8"/>
    <tableColumn name="Saves" id="9"/>
    <tableColumn name="Shares" id="10"/>
    <tableColumn name="Likes" id="11"/>
    <tableColumn name="Comments " id="12"/>
    <tableColumn name="Engagements " id="13"/>
    <tableColumn name="Engagement rate" id="14"/>
    <tableColumn name="CTR" id="15"/>
    <tableColumn name="Follower growth" id="16"/>
    <tableColumn name="Conversion Rate" id="17"/>
  </tableColumns>
  <tableStyleInfo name="TWITTER-style" showColumnStripes="0" showFirstColumn="1" showLastColumn="1" showRowStripes="1"/>
</table>
</file>

<file path=xl/tables/table4.xml><?xml version="1.0" encoding="utf-8"?>
<table xmlns="http://schemas.openxmlformats.org/spreadsheetml/2006/main" ref="A1:Q7" displayName="Table4" name="Table4" id="3">
  <tableColumns count="17">
    <tableColumn name="Platform" id="1"/>
    <tableColumn name="Post ID/Link" id="2"/>
    <tableColumn name="Date Posted" id="3"/>
    <tableColumn name="Time Posted" id="4"/>
    <tableColumn name="Content Type" id="5"/>
    <tableColumn name="Topic" id="6"/>
    <tableColumn name="Format" id="7"/>
    <tableColumn name="Impression" id="8"/>
    <tableColumn name="Saves" id="9"/>
    <tableColumn name="Shares" id="10"/>
    <tableColumn name="Likes" id="11"/>
    <tableColumn name="Comments " id="12"/>
    <tableColumn name="Engagements " id="13"/>
    <tableColumn name="Engagement rate" id="14"/>
    <tableColumn name="CTR" id="15"/>
    <tableColumn name="Follower growth" id="16"/>
    <tableColumn name="Conversion Rate" id="17"/>
  </tableColumns>
  <tableStyleInfo name="TIKTOK-style" showColumnStripes="0" showFirstColumn="1" showLastColumn="1" showRowStripes="1"/>
</table>
</file>

<file path=xl/tables/table5.xml><?xml version="1.0" encoding="utf-8"?>
<table xmlns="http://schemas.openxmlformats.org/spreadsheetml/2006/main" ref="A6:J11" displayName="Table5" name="Table5" id="5">
  <tableColumns count="10">
    <tableColumn name="Platform" id="1"/>
    <tableColumn name="Posts" id="2"/>
    <tableColumn name="Impressions" id="3"/>
    <tableColumn name="Reach" id="4"/>
    <tableColumn name="Likes" id="5"/>
    <tableColumn name="Shares" id="6"/>
    <tableColumn name="Comments" id="7"/>
    <tableColumn name="Engagement" id="8"/>
    <tableColumn name="Avg. Engagement Rate" id="9"/>
    <tableColumn name="New Followers" id="10"/>
  </tableColumns>
  <tableStyleInfo name="Tables-style" showColumnStripes="0" showFirstColumn="1" showLastColumn="1" showRowStripes="1"/>
</table>
</file>

<file path=xl/tables/table6.xml><?xml version="1.0" encoding="utf-8"?>
<table xmlns="http://schemas.openxmlformats.org/spreadsheetml/2006/main" ref="L6:M11" displayName="Table8" name="Table8" id="6">
  <tableColumns count="2">
    <tableColumn name="Format" id="1"/>
    <tableColumn name="Avg. Engagement Rate" id="2"/>
  </tableColumns>
  <tableStyleInfo name="Tables-style 2" showColumnStripes="0" showFirstColumn="1" showLastColumn="1" showRowStripes="1"/>
</table>
</file>

<file path=xl/tables/table7.xml><?xml version="1.0" encoding="utf-8"?>
<table xmlns="http://schemas.openxmlformats.org/spreadsheetml/2006/main" ref="A15:B33" displayName="Table7" name="Table7" id="7">
  <tableColumns count="2">
    <tableColumn name="Topic" id="1"/>
    <tableColumn name="Avg. Engagement Rate" id="2"/>
  </tableColumns>
  <tableStyleInfo name="Tables-style 3" showColumnStripes="0" showFirstColumn="1" showLastColumn="1" showRowStripes="1"/>
</table>
</file>

<file path=xl/tables/table8.xml><?xml version="1.0" encoding="utf-8"?>
<table xmlns="http://schemas.openxmlformats.org/spreadsheetml/2006/main" ref="D15:J25" displayName="Table10" name="Table10" id="8">
  <tableColumns count="7">
    <tableColumn name="Rank" id="1"/>
    <tableColumn name="Performance" id="2"/>
    <tableColumn name="Platform" id="3"/>
    <tableColumn name="Topic" id="4"/>
    <tableColumn name="Content Type" id="5"/>
    <tableColumn name="Format" id="6"/>
    <tableColumn name="Engagement Rate" id="7"/>
  </tableColumns>
  <tableStyleInfo name="Tables-style 4" showColumnStripes="0" showFirstColumn="1" showLastColumn="1" showRowStripes="1"/>
</table>
</file>

<file path=xl/tables/table9.xml><?xml version="1.0" encoding="utf-8"?>
<table xmlns="http://schemas.openxmlformats.org/spreadsheetml/2006/main" ref="L15:N25" displayName="Table15" name="Table15" id="9">
  <tableColumns count="3">
    <tableColumn name="Topic" id="1"/>
    <tableColumn name="Top" id="2"/>
    <tableColumn name="Bottom" id="3"/>
  </tableColumns>
  <tableStyleInfo name="Tables-style 5" showColumnStripes="0" showFirstColumn="1" showLastColumn="1" showRowStripes="1"/>
</table>
</file>

<file path=xl/tables/table10.xml><?xml version="1.0" encoding="utf-8"?>
<table xmlns="http://schemas.openxmlformats.org/spreadsheetml/2006/main" ref="D28:H33" displayName="Table6" name="Table6" id="10">
  <tableColumns count="5">
    <tableColumn name="Content Type" id="1"/>
    <tableColumn name="LinkedIn" id="2"/>
    <tableColumn name="Facebook" id="3"/>
    <tableColumn name="Twitter/X" id="4"/>
    <tableColumn name="TikTok" id="5"/>
  </tableColumns>
  <tableStyleInfo name="Tables-style 6" showColumnStripes="0" showFirstColumn="1" showLastColumn="1" showRowStripes="1"/>
</table>
</file>

<file path=xl/tables/table11.xml><?xml version="1.0" encoding="utf-8"?>
<table xmlns="http://schemas.openxmlformats.org/spreadsheetml/2006/main" ref="J28:L33" displayName="Table16" name="Table16" id="11">
  <tableColumns count="3">
    <tableColumn name="Week" id="1"/>
    <tableColumn name="Total Impressions" id="2"/>
    <tableColumn name="Avg. Engagement Rate" id="3"/>
  </tableColumns>
  <tableStyleInfo name="Tables-style 7" showColumnStripes="0" showFirstColumn="1" showLastColumn="1" showRowStripes="1"/>
</table>
</file>

<file path=xl/tables/table12.xml><?xml version="1.0" encoding="utf-8"?>
<table xmlns="http://schemas.openxmlformats.org/spreadsheetml/2006/main" ref="A39:C42" displayName="Table9" name="Table9" id="12">
  <tableColumns count="3">
    <tableColumn name="Period" id="1"/>
    <tableColumn name="Total Impressions" id="2"/>
    <tableColumn name="Avg. Engagement Rate" id="3"/>
  </tableColumns>
  <tableStyleInfo name="Tables-style 8" showColumnStripes="0" showFirstColumn="1" showLastColumn="1" showRowStripes="1"/>
</table>
</file>

<file path=xl/tables/table13.xml><?xml version="1.0" encoding="utf-8"?>
<table xmlns="http://schemas.openxmlformats.org/spreadsheetml/2006/main" ref="A59:G83" displayName="Table11" name="Table11" id="13">
  <tableColumns count="7">
    <tableColumn name="Competitor" id="1"/>
    <tableColumn name="LinkedIn" id="2"/>
    <tableColumn name="Facebook" id="3"/>
    <tableColumn name="Twitter/X" id="4"/>
    <tableColumn name="YouTube" id="5"/>
    <tableColumn name="TikTok" id="6"/>
    <tableColumn name="Instagram" id="7"/>
  </tableColumns>
  <tableStyleInfo name="Tables-style 9" showColumnStripes="0" showFirstColumn="1" showLastColumn="1" showRowStripes="1"/>
</table>
</file>

<file path=xl/tables/table14.xml><?xml version="1.0" encoding="utf-8"?>
<table xmlns="http://schemas.openxmlformats.org/spreadsheetml/2006/main" ref="A87:B110" displayName="Table13" name="Table13" id="14">
  <tableColumns count="2">
    <tableColumn name="Competitor" id="1"/>
    <tableColumn name="Total Audience" id="2"/>
  </tableColumns>
  <tableStyleInfo name="Tables-style 10" showColumnStripes="0" showFirstColumn="1" showLastColumn="1" showRowStripes="1"/>
</table>
</file>

<file path=xl/tables/table15.xml><?xml version="1.0" encoding="utf-8"?>
<table xmlns="http://schemas.openxmlformats.org/spreadsheetml/2006/main" ref="D87:E111" displayName="Table12" name="Table12" id="15">
  <tableColumns count="2">
    <tableColumn name="Competitor" id="1"/>
    <tableColumn name="Active Platforms" id="2"/>
  </tableColumns>
  <tableStyleInfo name="Tables-style 11" showColumnStripes="0" showFirstColumn="1" showLastColumn="1" showRowStripes="1"/>
</table>
</file>

<file path=xl/tables/table16.xml><?xml version="1.0" encoding="utf-8"?>
<table xmlns="http://schemas.openxmlformats.org/spreadsheetml/2006/main" ref="G87:J93" displayName="Table14" name="Table14" id="16">
  <tableColumns count="4">
    <tableColumn name="Platform" id="1"/>
    <tableColumn name="Afriment Audience" id="2"/>
    <tableColumn name="Competitor Median" id="3"/>
    <tableColumn name="Afriment Position" id="4"/>
  </tableColumns>
  <tableStyleInfo name="Tables-style 1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posts/afriment_afriment-bridgethegap-careerdevelopment-activity-7490300674459725824-bxBa?utm_source=share&amp;utm_medium=member_android&amp;rcm=ACoAAEyjc2UBzXf14E5UAcrrJ_BdXNlBzpZyAV8" TargetMode="External"/><Relationship Id="rId2" Type="http://schemas.openxmlformats.org/officeDocument/2006/relationships/hyperlink" Target="https://www.linkedin.com/posts/afriment_afriment-50kstrong-linkedincommunity-activity-7490662888987324416-OXMO?utm_source=share&amp;utm_medium=member_android&amp;rcm=ACoAAEyjc2UBzXf14E5UAcrrJ_BdXNlBzpZyAV8" TargetMode="External"/><Relationship Id="rId3" Type="http://schemas.openxmlformats.org/officeDocument/2006/relationships/hyperlink" Target="https://www.linkedin.com/posts/afriment_afriment-testimonial-careergrowth-activity-7491025949044588545-GRUG?utm_source=share&amp;utm_medium=member_android&amp;rcm=ACoAAEyjc2UBzXf14E5UAcrrJ_BdXNlBzpZyAV8" TargetMode="External"/><Relationship Id="rId4" Type="http://schemas.openxmlformats.org/officeDocument/2006/relationships/hyperlink" Target="https://www.linkedin.com/posts/afriment_afriment-afrimentinternship-careergrowth-activity-7491389071475507203-tf7q?utm_source=share&amp;utm_medium=member_android&amp;rcm=ACoAAEyjc2UBzXf14E5UAcrrJ_BdXNlBzpZyAV8" TargetMode="External"/><Relationship Id="rId10" Type="http://schemas.openxmlformats.org/officeDocument/2006/relationships/drawing" Target="../drawings/drawing1.xml"/><Relationship Id="rId12" Type="http://schemas.openxmlformats.org/officeDocument/2006/relationships/table" Target="../tables/table1.xml"/><Relationship Id="rId9" Type="http://schemas.openxmlformats.org/officeDocument/2006/relationships/hyperlink" Target="https://www.linkedin.com/posts/afriment_afriment-afrimentc22-internship-activity-7495012129985581058-R43V?utm_source=share&amp;utm_medium=member_android&amp;rcm=ACoAAEyjc2UBzXf14E5UAcrrJ_BdXNlBzpZyAV8" TargetMode="External"/><Relationship Id="rId5" Type="http://schemas.openxmlformats.org/officeDocument/2006/relationships/hyperlink" Target="https://www.linkedin.com/posts/afriment_afriment-careergrowth-professionaldevelopment-activity-7492474886309789696-7K1T?utm_source=share&amp;utm_medium=member_android&amp;rcm=ACoAAEyjc2UBzXf14E5UAcrrJ_BdXNlBzpZyAV8" TargetMode="External"/><Relationship Id="rId6" Type="http://schemas.openxmlformats.org/officeDocument/2006/relationships/hyperlink" Target="https://www.linkedin.com/posts/afriment_cohort-21-has-officially-begun-and-the-teams-activity-7493200325924020224-Z1Zb?utm_source=share&amp;utm_medium=member_android&amp;rcm=ACoAAEyjc2UBzXf14E5UAcrrJ_BdXNlBzpZyAV8" TargetMode="External"/><Relationship Id="rId7" Type="http://schemas.openxmlformats.org/officeDocument/2006/relationships/hyperlink" Target="https://www.linkedin.com/posts/afriment_afriment-rabiuolowofoundation-partnership-activity-7493563136759877633-oD3j?utm_source=share&amp;utm_medium=member_android&amp;rcm=ACoAAEyjc2UBzXf14E5UAcrrJ_BdXNlBzpZyAV8" TargetMode="External"/><Relationship Id="rId8" Type="http://schemas.openxmlformats.org/officeDocument/2006/relationships/hyperlink" Target="https://www.linkedin.com/posts/afriment_afriment-cohort21-internship-activity-7493924590960893952-wViX?utm_source=share&amp;utm_medium=member_android&amp;rcm=ACoAAEyjc2UBzXf14E5UAcrrJ_BdXNlBzpZyAV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permalink.php?story_fbid=pfbid0xxEQ9feWCBYa4Uv8AsTnTdfoeZt4ARjvy9SHdKPGNgVyUxpEWuKjfNWiGCrcBC37l&amp;id=61577709174293" TargetMode="External"/><Relationship Id="rId2" Type="http://schemas.openxmlformats.org/officeDocument/2006/relationships/hyperlink" Target="https://www.facebook.com/permalink.php?story_fbid=pfbid0DnopggDdLZCroPk5uvkCFWHikDCqyaQ5hHqa7c8jASgNRh4SwngbjmGHZKkNLVtql&amp;id=61577709174293" TargetMode="External"/><Relationship Id="rId3" Type="http://schemas.openxmlformats.org/officeDocument/2006/relationships/hyperlink" Target="https://www.facebook.com/permalink.php?story_fbid=pfbid0AqnVDJJZWbXfpaQA1DLVNWtF6mWLmZECBL5BDq6vB5jmKm9MZnEk468E7PG971hil&amp;id=61577709174293" TargetMode="External"/><Relationship Id="rId4" Type="http://schemas.openxmlformats.org/officeDocument/2006/relationships/hyperlink" Target="https://www.facebook.com/permalink.php?story_fbid=pfbid0mZjDWhNTaQ9MyGnzzCEQXxJTDT9xzhirczD9euGRHBbTgp7wwz1Ja5S1VcNSx89Wl&amp;id=61577709174293" TargetMode="External"/><Relationship Id="rId11" Type="http://schemas.openxmlformats.org/officeDocument/2006/relationships/table" Target="../tables/table2.xml"/><Relationship Id="rId9" Type="http://schemas.openxmlformats.org/officeDocument/2006/relationships/drawing" Target="../drawings/drawing2.xml"/><Relationship Id="rId5" Type="http://schemas.openxmlformats.org/officeDocument/2006/relationships/hyperlink" Target="https://www.facebook.com/permalink.php?story_fbid=pfbid03sGdsP8EzXHPv5XeUH1wsAz6tMSZNmnijTSfUF2vkSaT6FbBs8v5QAmZWzmNVbanl&amp;id=61577709174293" TargetMode="External"/><Relationship Id="rId6" Type="http://schemas.openxmlformats.org/officeDocument/2006/relationships/hyperlink" Target="https://facebook.com/reel/2083221632580142/" TargetMode="External"/><Relationship Id="rId7" Type="http://schemas.openxmlformats.org/officeDocument/2006/relationships/hyperlink" Target="https://www.facebook.com/permalink.php?story_fbid=pfbid0L2qrAQHKbpBBVxqNp89RahHAYSVNaBR9bApRDEUNcyvARD5eWXBRdzF5sdPX3R6Bl&amp;id=61577709174293" TargetMode="External"/><Relationship Id="rId8" Type="http://schemas.openxmlformats.org/officeDocument/2006/relationships/hyperlink" Target="https://www.facebook.com/permalink.php?story_fbid=pfbid0qyq5fqLmKUZSitb5uhFf791ttzHP68ncp1aMATjc2bpvh5Ugdc8VziW38Zu7u7MRl&amp;id=61577709174293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i/status/2084171359043600862" TargetMode="External"/><Relationship Id="rId2" Type="http://schemas.openxmlformats.org/officeDocument/2006/relationships/hyperlink" Target="https://x.com/i/status/2084534319930814570" TargetMode="External"/><Relationship Id="rId3" Type="http://schemas.openxmlformats.org/officeDocument/2006/relationships/hyperlink" Target="https://x.com/i/status/2085258751926218918" TargetMode="External"/><Relationship Id="rId4" Type="http://schemas.openxmlformats.org/officeDocument/2006/relationships/hyperlink" Target="https://x.com/i/status/2085621579757535553" TargetMode="External"/><Relationship Id="rId11" Type="http://schemas.openxmlformats.org/officeDocument/2006/relationships/table" Target="../tables/table3.xml"/><Relationship Id="rId9" Type="http://schemas.openxmlformats.org/officeDocument/2006/relationships/drawing" Target="../drawings/drawing3.xml"/><Relationship Id="rId5" Type="http://schemas.openxmlformats.org/officeDocument/2006/relationships/hyperlink" Target="https://x.com/i/status/2086708758344859939" TargetMode="External"/><Relationship Id="rId6" Type="http://schemas.openxmlformats.org/officeDocument/2006/relationships/hyperlink" Target="https://x.com/i/status/2087071493129670838" TargetMode="External"/><Relationship Id="rId7" Type="http://schemas.openxmlformats.org/officeDocument/2006/relationships/hyperlink" Target="https://x.com/AFRIMENT/status/2087797952374784421" TargetMode="External"/><Relationship Id="rId8" Type="http://schemas.openxmlformats.org/officeDocument/2006/relationships/hyperlink" Target="https://x.com/AFRIMENT/status/2089245153659674941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afriment39/video/7664856808649002258?is_from_webapp=1&amp;sender_device=pc&amp;web_id=7673098842363938312" TargetMode="External"/><Relationship Id="rId2" Type="http://schemas.openxmlformats.org/officeDocument/2006/relationships/hyperlink" Target="https://www.tiktok.com/@afriment39/photo/7667470288824700178?is_from_webapp=1&amp;sender_device=pc&amp;web_id=7673098842363938312" TargetMode="External"/><Relationship Id="rId3" Type="http://schemas.openxmlformats.org/officeDocument/2006/relationships/hyperlink" Target="https://www.tiktok.com/@afriment39/photo/7667841909125041416?is_from_webapp=1&amp;sender_device=pc&amp;web_id=7673098842363938312" TargetMode="External"/><Relationship Id="rId4" Type="http://schemas.openxmlformats.org/officeDocument/2006/relationships/hyperlink" Target="https://www.tiktok.com/@afriment39/photo/7670067759388183816?is_from_webapp=1&amp;sender_device=pc&amp;web_id=7673098842363938312" TargetMode="External"/><Relationship Id="rId9" Type="http://schemas.openxmlformats.org/officeDocument/2006/relationships/table" Target="../tables/table4.xml"/><Relationship Id="rId5" Type="http://schemas.openxmlformats.org/officeDocument/2006/relationships/hyperlink" Target="https://www.tiktok.com/@afriment39/video/7672664745383611666?is_from_webapp=1&amp;sender_device=pc&amp;web_id=7673098842363938312" TargetMode="External"/><Relationship Id="rId6" Type="http://schemas.openxmlformats.org/officeDocument/2006/relationships/hyperlink" Target="https://www.tiktok.com/@afriment39/photo/7674890008506977554?is_from_webapp=1&amp;sender_device=pc&amp;web_id=7673098842363938312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1.xml"/><Relationship Id="rId22" Type="http://schemas.openxmlformats.org/officeDocument/2006/relationships/table" Target="../tables/table13.xml"/><Relationship Id="rId21" Type="http://schemas.openxmlformats.org/officeDocument/2006/relationships/table" Target="../tables/table12.xml"/><Relationship Id="rId24" Type="http://schemas.openxmlformats.org/officeDocument/2006/relationships/table" Target="../tables/table15.xml"/><Relationship Id="rId23" Type="http://schemas.openxmlformats.org/officeDocument/2006/relationships/table" Target="../tables/table14.xml"/><Relationship Id="rId1" Type="http://schemas.openxmlformats.org/officeDocument/2006/relationships/drawing" Target="../drawings/drawing5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25" Type="http://schemas.openxmlformats.org/officeDocument/2006/relationships/table" Target="../tables/table16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Relationship Id="rId19" Type="http://schemas.openxmlformats.org/officeDocument/2006/relationships/table" Target="../tables/table10.xml"/><Relationship Id="rId18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38"/>
  </cols>
  <sheetData>
    <row r="1" ht="22.5" customHeight="1">
      <c r="A1" s="2" t="s">
        <v>0</v>
      </c>
      <c r="B1" s="1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11</v>
      </c>
      <c r="K1" s="2" t="s">
        <v>10</v>
      </c>
      <c r="L1" s="4" t="s">
        <v>12</v>
      </c>
      <c r="M1" s="5" t="s">
        <v>17</v>
      </c>
      <c r="N1" s="2" t="s">
        <v>14</v>
      </c>
      <c r="O1" s="2" t="s">
        <v>15</v>
      </c>
      <c r="P1" s="2" t="s">
        <v>20</v>
      </c>
      <c r="Q1" s="2" t="s">
        <v>21</v>
      </c>
      <c r="R1" s="7" t="s">
        <v>22</v>
      </c>
    </row>
    <row r="2" ht="22.5" customHeight="1">
      <c r="A2" s="8" t="s">
        <v>24</v>
      </c>
      <c r="B2" s="9" t="s">
        <v>25</v>
      </c>
      <c r="C2" s="11">
        <v>46238.0</v>
      </c>
      <c r="D2" s="13">
        <v>0.3333333333333333</v>
      </c>
      <c r="E2" s="15" t="s">
        <v>30</v>
      </c>
      <c r="F2" s="15" t="s">
        <v>33</v>
      </c>
      <c r="G2" s="15" t="s">
        <v>35</v>
      </c>
      <c r="H2" s="17">
        <v>1195.0</v>
      </c>
      <c r="I2" s="17">
        <v>482.0</v>
      </c>
      <c r="J2" s="17">
        <v>61.0</v>
      </c>
      <c r="K2" s="17">
        <v>7.0</v>
      </c>
      <c r="L2" s="19">
        <v>16.0</v>
      </c>
      <c r="M2" s="19">
        <f t="shared" ref="M2:M6" si="1">SUM(J2+L2+K2)</f>
        <v>84</v>
      </c>
      <c r="N2" s="22">
        <f t="shared" ref="N2:N10" si="2">M2/I2</f>
        <v>0.1742738589</v>
      </c>
      <c r="O2" s="22">
        <v>0.074</v>
      </c>
      <c r="P2" s="17">
        <v>1.0</v>
      </c>
      <c r="Q2" s="23"/>
      <c r="R2" s="24"/>
      <c r="U2" s="25">
        <f>SUM(M2:M10)</f>
        <v>1310</v>
      </c>
    </row>
    <row r="3" ht="22.5" customHeight="1">
      <c r="A3" s="8" t="s">
        <v>24</v>
      </c>
      <c r="B3" s="26" t="s">
        <v>42</v>
      </c>
      <c r="C3" s="28">
        <v>46239.0</v>
      </c>
      <c r="D3" s="30">
        <v>0.3333333333333333</v>
      </c>
      <c r="E3" s="32" t="s">
        <v>43</v>
      </c>
      <c r="F3" s="32" t="s">
        <v>45</v>
      </c>
      <c r="G3" s="32" t="s">
        <v>35</v>
      </c>
      <c r="H3" s="33">
        <v>1321.0</v>
      </c>
      <c r="I3" s="33">
        <v>689.0</v>
      </c>
      <c r="J3" s="33">
        <v>97.0</v>
      </c>
      <c r="K3" s="33">
        <v>9.0</v>
      </c>
      <c r="L3" s="36">
        <v>65.0</v>
      </c>
      <c r="M3" s="36">
        <f t="shared" si="1"/>
        <v>171</v>
      </c>
      <c r="N3" s="22">
        <f t="shared" si="2"/>
        <v>0.2481857765</v>
      </c>
      <c r="O3" s="38">
        <v>0.045</v>
      </c>
      <c r="P3" s="33">
        <v>5.0</v>
      </c>
      <c r="Q3" s="41"/>
      <c r="R3" s="42"/>
    </row>
    <row r="4" ht="22.5" customHeight="1">
      <c r="A4" s="8" t="s">
        <v>24</v>
      </c>
      <c r="B4" s="9" t="s">
        <v>48</v>
      </c>
      <c r="C4" s="11">
        <v>46240.0</v>
      </c>
      <c r="D4" s="13">
        <v>0.3333333333333333</v>
      </c>
      <c r="E4" s="15" t="s">
        <v>32</v>
      </c>
      <c r="F4" s="15" t="s">
        <v>36</v>
      </c>
      <c r="G4" s="15" t="s">
        <v>35</v>
      </c>
      <c r="H4" s="17">
        <v>1122.0</v>
      </c>
      <c r="I4" s="17">
        <v>519.0</v>
      </c>
      <c r="J4" s="17">
        <v>86.0</v>
      </c>
      <c r="K4" s="17">
        <v>7.0</v>
      </c>
      <c r="L4" s="19">
        <v>58.0</v>
      </c>
      <c r="M4" s="19">
        <f t="shared" si="1"/>
        <v>151</v>
      </c>
      <c r="N4" s="22">
        <f t="shared" si="2"/>
        <v>0.2909441233</v>
      </c>
      <c r="O4" s="22">
        <v>0.062</v>
      </c>
      <c r="P4" s="17">
        <v>3.0</v>
      </c>
      <c r="Q4" s="23"/>
      <c r="R4" s="24"/>
    </row>
    <row r="5" ht="22.5" customHeight="1">
      <c r="A5" s="8" t="s">
        <v>24</v>
      </c>
      <c r="B5" s="26" t="s">
        <v>54</v>
      </c>
      <c r="C5" s="28">
        <v>46241.0</v>
      </c>
      <c r="D5" s="30">
        <v>0.3333333333333333</v>
      </c>
      <c r="E5" s="32" t="s">
        <v>58</v>
      </c>
      <c r="F5" s="32" t="s">
        <v>34</v>
      </c>
      <c r="G5" s="32" t="s">
        <v>35</v>
      </c>
      <c r="H5" s="33">
        <v>2658.0</v>
      </c>
      <c r="I5" s="33">
        <v>1013.0</v>
      </c>
      <c r="J5" s="33">
        <v>84.0</v>
      </c>
      <c r="K5" s="33">
        <v>12.0</v>
      </c>
      <c r="L5" s="36">
        <v>43.0</v>
      </c>
      <c r="M5" s="36">
        <f t="shared" si="1"/>
        <v>139</v>
      </c>
      <c r="N5" s="22">
        <f t="shared" si="2"/>
        <v>0.1372161895</v>
      </c>
      <c r="O5" s="38">
        <v>0.083</v>
      </c>
      <c r="P5" s="33">
        <v>6.0</v>
      </c>
      <c r="Q5" s="41"/>
      <c r="R5" s="42"/>
    </row>
    <row r="6" ht="22.5" customHeight="1">
      <c r="A6" s="43" t="s">
        <v>24</v>
      </c>
      <c r="B6" s="44" t="s">
        <v>62</v>
      </c>
      <c r="C6" s="45">
        <v>46242.0</v>
      </c>
      <c r="D6" s="46">
        <v>0.3333333333333333</v>
      </c>
      <c r="E6" s="47" t="s">
        <v>30</v>
      </c>
      <c r="F6" s="47" t="s">
        <v>63</v>
      </c>
      <c r="G6" s="47" t="s">
        <v>35</v>
      </c>
      <c r="H6" s="48">
        <v>2045.0</v>
      </c>
      <c r="I6" s="48">
        <v>914.0</v>
      </c>
      <c r="J6" s="48">
        <v>90.0</v>
      </c>
      <c r="K6" s="48">
        <v>5.0</v>
      </c>
      <c r="L6" s="49">
        <v>58.0</v>
      </c>
      <c r="M6" s="49">
        <f t="shared" si="1"/>
        <v>153</v>
      </c>
      <c r="N6" s="22">
        <f t="shared" si="2"/>
        <v>0.1673960613</v>
      </c>
      <c r="O6" s="50">
        <v>0.096</v>
      </c>
      <c r="P6" s="48">
        <v>1.0</v>
      </c>
      <c r="Q6" s="51"/>
      <c r="R6" s="24"/>
    </row>
    <row r="7">
      <c r="A7" s="52" t="s">
        <v>24</v>
      </c>
      <c r="B7" s="54" t="s">
        <v>73</v>
      </c>
      <c r="C7" s="55">
        <v>46364.0</v>
      </c>
      <c r="D7" s="57">
        <v>0.3333333333333333</v>
      </c>
      <c r="E7" s="58" t="s">
        <v>30</v>
      </c>
      <c r="F7" s="58" t="s">
        <v>76</v>
      </c>
      <c r="G7" s="58" t="s">
        <v>35</v>
      </c>
      <c r="H7" s="59">
        <v>1835.0</v>
      </c>
      <c r="I7" s="59">
        <v>895.0</v>
      </c>
      <c r="J7" s="59">
        <v>105.0</v>
      </c>
      <c r="K7" s="59">
        <v>6.0</v>
      </c>
      <c r="L7" s="59">
        <v>98.0</v>
      </c>
      <c r="M7" s="62">
        <f t="shared" ref="M7:M10" si="3">SUM(J7:L7)</f>
        <v>209</v>
      </c>
      <c r="N7" s="64">
        <f t="shared" si="2"/>
        <v>0.2335195531</v>
      </c>
      <c r="O7" s="66">
        <v>0.087</v>
      </c>
      <c r="P7" s="59">
        <v>4.0</v>
      </c>
      <c r="Q7" s="67"/>
    </row>
    <row r="8">
      <c r="A8" s="52" t="s">
        <v>24</v>
      </c>
      <c r="B8" s="54" t="s">
        <v>78</v>
      </c>
      <c r="C8" s="69" t="s">
        <v>80</v>
      </c>
      <c r="D8" s="57">
        <v>0.3333333333333333</v>
      </c>
      <c r="E8" s="58" t="s">
        <v>30</v>
      </c>
      <c r="F8" s="58" t="s">
        <v>81</v>
      </c>
      <c r="G8" s="58" t="s">
        <v>82</v>
      </c>
      <c r="H8" s="59">
        <v>1489.0</v>
      </c>
      <c r="I8" s="59">
        <v>801.0</v>
      </c>
      <c r="J8" s="59">
        <v>99.0</v>
      </c>
      <c r="K8" s="59">
        <v>4.0</v>
      </c>
      <c r="L8" s="59">
        <v>91.0</v>
      </c>
      <c r="M8" s="62">
        <f t="shared" si="3"/>
        <v>194</v>
      </c>
      <c r="N8" s="64">
        <f t="shared" si="2"/>
        <v>0.2421972534</v>
      </c>
      <c r="O8" s="66">
        <v>0.066</v>
      </c>
      <c r="P8" s="59">
        <v>2.0</v>
      </c>
      <c r="Q8" s="67"/>
    </row>
    <row r="9">
      <c r="A9" s="52" t="s">
        <v>24</v>
      </c>
      <c r="B9" s="54" t="s">
        <v>83</v>
      </c>
      <c r="C9" s="69" t="s">
        <v>85</v>
      </c>
      <c r="D9" s="57">
        <v>0.3333333333333333</v>
      </c>
      <c r="E9" s="58" t="s">
        <v>64</v>
      </c>
      <c r="F9" s="58" t="s">
        <v>87</v>
      </c>
      <c r="G9" s="58" t="s">
        <v>35</v>
      </c>
      <c r="H9" s="59">
        <v>1832.0</v>
      </c>
      <c r="I9" s="59">
        <v>1004.0</v>
      </c>
      <c r="J9" s="59">
        <v>88.0</v>
      </c>
      <c r="K9" s="59">
        <v>5.0</v>
      </c>
      <c r="L9" s="59">
        <v>19.0</v>
      </c>
      <c r="M9" s="76">
        <f t="shared" si="3"/>
        <v>112</v>
      </c>
      <c r="N9" s="64">
        <f t="shared" si="2"/>
        <v>0.1115537849</v>
      </c>
      <c r="O9" s="66">
        <v>0.059</v>
      </c>
      <c r="P9" s="59">
        <v>3.0</v>
      </c>
      <c r="Q9" s="67"/>
    </row>
    <row r="10">
      <c r="A10" s="52" t="s">
        <v>24</v>
      </c>
      <c r="B10" s="54" t="s">
        <v>88</v>
      </c>
      <c r="C10" s="69" t="s">
        <v>89</v>
      </c>
      <c r="D10" s="57">
        <v>0.3333333333333333</v>
      </c>
      <c r="E10" s="58" t="s">
        <v>32</v>
      </c>
      <c r="F10" s="58" t="s">
        <v>77</v>
      </c>
      <c r="G10" s="58" t="s">
        <v>82</v>
      </c>
      <c r="H10" s="59">
        <v>703.0</v>
      </c>
      <c r="I10" s="59">
        <v>413.0</v>
      </c>
      <c r="J10" s="59">
        <v>58.0</v>
      </c>
      <c r="K10" s="59">
        <v>10.0</v>
      </c>
      <c r="L10" s="59">
        <v>29.0</v>
      </c>
      <c r="M10" s="76">
        <f t="shared" si="3"/>
        <v>97</v>
      </c>
      <c r="N10" s="64">
        <f t="shared" si="2"/>
        <v>0.2348668281</v>
      </c>
      <c r="O10" s="66">
        <v>0.046</v>
      </c>
      <c r="P10" s="59">
        <v>1.0</v>
      </c>
      <c r="Q10" s="67"/>
    </row>
    <row r="11">
      <c r="B11" s="74"/>
      <c r="C11" s="67"/>
    </row>
    <row r="12">
      <c r="B12" s="74"/>
      <c r="C12" s="67"/>
    </row>
    <row r="13">
      <c r="B13" s="74"/>
      <c r="C13" s="67"/>
    </row>
    <row r="14">
      <c r="B14" s="74"/>
      <c r="C14" s="67"/>
    </row>
    <row r="15">
      <c r="B15" s="74"/>
      <c r="C15" s="67"/>
    </row>
    <row r="16">
      <c r="B16" s="74"/>
      <c r="C16" s="67"/>
    </row>
    <row r="17">
      <c r="B17" s="74"/>
      <c r="C17" s="67"/>
    </row>
    <row r="18">
      <c r="B18" s="74"/>
      <c r="C18" s="67"/>
    </row>
    <row r="19">
      <c r="B19" s="74"/>
      <c r="C19" s="67"/>
    </row>
    <row r="20">
      <c r="B20" s="74"/>
      <c r="C20" s="67"/>
    </row>
    <row r="21">
      <c r="B21" s="74"/>
      <c r="C21" s="67"/>
    </row>
    <row r="22">
      <c r="B22" s="74"/>
      <c r="C22" s="67"/>
    </row>
    <row r="23">
      <c r="B23" s="74"/>
      <c r="C23" s="67"/>
    </row>
    <row r="24">
      <c r="B24" s="74"/>
      <c r="C24" s="67"/>
    </row>
    <row r="25">
      <c r="B25" s="74"/>
      <c r="C25" s="67"/>
    </row>
    <row r="26">
      <c r="B26" s="74"/>
      <c r="C26" s="67"/>
    </row>
    <row r="27">
      <c r="B27" s="74"/>
      <c r="C27" s="67"/>
    </row>
    <row r="28">
      <c r="B28" s="74"/>
      <c r="C28" s="67"/>
    </row>
    <row r="29">
      <c r="B29" s="74"/>
      <c r="C29" s="67"/>
    </row>
    <row r="30">
      <c r="B30" s="74"/>
      <c r="C30" s="67"/>
    </row>
    <row r="31">
      <c r="B31" s="74"/>
      <c r="C31" s="67"/>
    </row>
    <row r="32">
      <c r="B32" s="74"/>
      <c r="C32" s="67"/>
    </row>
    <row r="33">
      <c r="B33" s="74"/>
      <c r="C33" s="67"/>
    </row>
    <row r="34">
      <c r="B34" s="74"/>
      <c r="C34" s="67"/>
    </row>
    <row r="35">
      <c r="B35" s="74"/>
      <c r="C35" s="67"/>
    </row>
    <row r="36">
      <c r="B36" s="74"/>
      <c r="C36" s="67"/>
    </row>
    <row r="37">
      <c r="B37" s="74"/>
      <c r="C37" s="67"/>
    </row>
    <row r="38">
      <c r="B38" s="74"/>
      <c r="C38" s="67"/>
    </row>
    <row r="39">
      <c r="B39" s="74"/>
      <c r="C39" s="67"/>
    </row>
    <row r="40">
      <c r="B40" s="74"/>
      <c r="C40" s="67"/>
    </row>
    <row r="41">
      <c r="B41" s="74"/>
      <c r="C41" s="67"/>
    </row>
    <row r="42">
      <c r="B42" s="74"/>
      <c r="C42" s="67"/>
    </row>
    <row r="43">
      <c r="B43" s="74"/>
      <c r="C43" s="67"/>
    </row>
    <row r="44">
      <c r="B44" s="74"/>
      <c r="C44" s="67"/>
    </row>
    <row r="45">
      <c r="B45" s="74"/>
      <c r="C45" s="67"/>
    </row>
    <row r="46">
      <c r="B46" s="74"/>
      <c r="C46" s="67"/>
    </row>
    <row r="47">
      <c r="B47" s="74"/>
      <c r="C47" s="67"/>
    </row>
    <row r="48">
      <c r="B48" s="74"/>
      <c r="C48" s="67"/>
    </row>
    <row r="49">
      <c r="B49" s="74"/>
      <c r="C49" s="67"/>
    </row>
    <row r="50">
      <c r="B50" s="74"/>
      <c r="C50" s="67"/>
    </row>
    <row r="51">
      <c r="B51" s="74"/>
      <c r="C51" s="67"/>
    </row>
    <row r="52">
      <c r="B52" s="74"/>
      <c r="C52" s="67"/>
    </row>
    <row r="53">
      <c r="B53" s="74"/>
      <c r="C53" s="67"/>
    </row>
    <row r="54">
      <c r="B54" s="74"/>
      <c r="C54" s="67"/>
    </row>
    <row r="55">
      <c r="B55" s="74"/>
      <c r="C55" s="67"/>
    </row>
    <row r="56">
      <c r="B56" s="74"/>
      <c r="C56" s="67"/>
    </row>
    <row r="57">
      <c r="B57" s="74"/>
      <c r="C57" s="67"/>
    </row>
    <row r="58">
      <c r="B58" s="74"/>
      <c r="C58" s="67"/>
    </row>
    <row r="59">
      <c r="B59" s="74"/>
      <c r="C59" s="67"/>
    </row>
    <row r="60">
      <c r="B60" s="74"/>
      <c r="C60" s="67"/>
    </row>
    <row r="61">
      <c r="B61" s="74"/>
      <c r="C61" s="67"/>
    </row>
    <row r="62">
      <c r="B62" s="74"/>
      <c r="C62" s="67"/>
    </row>
    <row r="63">
      <c r="B63" s="74"/>
      <c r="C63" s="67"/>
    </row>
    <row r="64">
      <c r="B64" s="74"/>
      <c r="C64" s="67"/>
    </row>
    <row r="65">
      <c r="B65" s="74"/>
      <c r="C65" s="67"/>
    </row>
    <row r="66">
      <c r="B66" s="74"/>
      <c r="C66" s="67"/>
    </row>
    <row r="67">
      <c r="B67" s="74"/>
      <c r="C67" s="67"/>
    </row>
    <row r="68">
      <c r="B68" s="74"/>
      <c r="C68" s="67"/>
    </row>
    <row r="69">
      <c r="B69" s="74"/>
      <c r="C69" s="67"/>
    </row>
    <row r="70">
      <c r="B70" s="74"/>
      <c r="C70" s="67"/>
    </row>
    <row r="71">
      <c r="B71" s="74"/>
      <c r="C71" s="67"/>
    </row>
    <row r="72">
      <c r="B72" s="74"/>
      <c r="C72" s="67"/>
    </row>
    <row r="73">
      <c r="B73" s="74"/>
      <c r="C73" s="67"/>
    </row>
    <row r="74">
      <c r="B74" s="74"/>
      <c r="C74" s="67"/>
    </row>
    <row r="75">
      <c r="B75" s="74"/>
      <c r="C75" s="67"/>
    </row>
    <row r="76">
      <c r="B76" s="74"/>
      <c r="C76" s="67"/>
    </row>
    <row r="77">
      <c r="B77" s="74"/>
      <c r="C77" s="67"/>
    </row>
    <row r="78">
      <c r="B78" s="74"/>
      <c r="C78" s="67"/>
    </row>
    <row r="79">
      <c r="B79" s="74"/>
      <c r="C79" s="67"/>
    </row>
    <row r="80">
      <c r="B80" s="74"/>
      <c r="C80" s="67"/>
    </row>
    <row r="81">
      <c r="B81" s="74"/>
      <c r="C81" s="67"/>
    </row>
    <row r="82">
      <c r="B82" s="74"/>
      <c r="C82" s="67"/>
    </row>
    <row r="83">
      <c r="B83" s="74"/>
      <c r="C83" s="67"/>
    </row>
    <row r="84">
      <c r="B84" s="74"/>
      <c r="C84" s="67"/>
    </row>
    <row r="85">
      <c r="B85" s="74"/>
      <c r="C85" s="67"/>
    </row>
    <row r="86">
      <c r="B86" s="74"/>
      <c r="C86" s="67"/>
    </row>
    <row r="87">
      <c r="B87" s="74"/>
      <c r="C87" s="67"/>
    </row>
    <row r="88">
      <c r="B88" s="74"/>
      <c r="C88" s="67"/>
    </row>
    <row r="89">
      <c r="B89" s="74"/>
      <c r="C89" s="67"/>
    </row>
    <row r="90">
      <c r="B90" s="74"/>
      <c r="C90" s="67"/>
    </row>
    <row r="91">
      <c r="B91" s="74"/>
      <c r="C91" s="67"/>
    </row>
    <row r="92">
      <c r="B92" s="74"/>
      <c r="C92" s="67"/>
    </row>
    <row r="93">
      <c r="B93" s="74"/>
      <c r="C93" s="67"/>
    </row>
    <row r="94">
      <c r="B94" s="74"/>
      <c r="C94" s="67"/>
    </row>
    <row r="95">
      <c r="B95" s="74"/>
      <c r="C95" s="67"/>
    </row>
    <row r="96">
      <c r="B96" s="74"/>
      <c r="C96" s="67"/>
    </row>
    <row r="97">
      <c r="B97" s="74"/>
      <c r="C97" s="67"/>
    </row>
    <row r="98">
      <c r="B98" s="74"/>
      <c r="C98" s="67"/>
    </row>
    <row r="99">
      <c r="B99" s="74"/>
      <c r="C99" s="67"/>
    </row>
    <row r="100">
      <c r="B100" s="74"/>
      <c r="C100" s="67"/>
    </row>
    <row r="101">
      <c r="B101" s="74"/>
      <c r="C101" s="67"/>
    </row>
    <row r="102">
      <c r="B102" s="74"/>
      <c r="C102" s="67"/>
    </row>
    <row r="103">
      <c r="B103" s="74"/>
      <c r="C103" s="67"/>
    </row>
    <row r="104">
      <c r="B104" s="74"/>
      <c r="C104" s="67"/>
    </row>
    <row r="105">
      <c r="B105" s="74"/>
      <c r="C105" s="67"/>
    </row>
    <row r="106">
      <c r="B106" s="74"/>
      <c r="C106" s="67"/>
    </row>
    <row r="107">
      <c r="B107" s="74"/>
      <c r="C107" s="67"/>
    </row>
    <row r="108">
      <c r="B108" s="74"/>
      <c r="C108" s="67"/>
    </row>
    <row r="109">
      <c r="B109" s="74"/>
      <c r="C109" s="67"/>
    </row>
    <row r="110">
      <c r="B110" s="74"/>
      <c r="C110" s="67"/>
    </row>
    <row r="111">
      <c r="B111" s="74"/>
      <c r="C111" s="67"/>
    </row>
    <row r="112">
      <c r="B112" s="74"/>
      <c r="C112" s="67"/>
    </row>
    <row r="113">
      <c r="B113" s="74"/>
      <c r="C113" s="67"/>
    </row>
    <row r="114">
      <c r="B114" s="74"/>
      <c r="C114" s="67"/>
    </row>
    <row r="115">
      <c r="B115" s="74"/>
      <c r="C115" s="67"/>
    </row>
    <row r="116">
      <c r="B116" s="74"/>
      <c r="C116" s="67"/>
    </row>
    <row r="117">
      <c r="B117" s="74"/>
      <c r="C117" s="67"/>
    </row>
    <row r="118">
      <c r="B118" s="74"/>
      <c r="C118" s="67"/>
    </row>
    <row r="119">
      <c r="B119" s="74"/>
      <c r="C119" s="67"/>
    </row>
    <row r="120">
      <c r="B120" s="74"/>
      <c r="C120" s="67"/>
    </row>
    <row r="121">
      <c r="B121" s="74"/>
      <c r="C121" s="67"/>
    </row>
    <row r="122">
      <c r="B122" s="74"/>
      <c r="C122" s="67"/>
    </row>
    <row r="123">
      <c r="B123" s="74"/>
      <c r="C123" s="67"/>
    </row>
    <row r="124">
      <c r="B124" s="74"/>
      <c r="C124" s="67"/>
    </row>
    <row r="125">
      <c r="B125" s="74"/>
      <c r="C125" s="67"/>
    </row>
    <row r="126">
      <c r="B126" s="74"/>
      <c r="C126" s="67"/>
    </row>
    <row r="127">
      <c r="B127" s="74"/>
      <c r="C127" s="67"/>
    </row>
    <row r="128">
      <c r="B128" s="74"/>
      <c r="C128" s="67"/>
    </row>
    <row r="129">
      <c r="B129" s="74"/>
      <c r="C129" s="67"/>
    </row>
    <row r="130">
      <c r="B130" s="74"/>
      <c r="C130" s="67"/>
    </row>
    <row r="131">
      <c r="B131" s="74"/>
      <c r="C131" s="67"/>
    </row>
    <row r="132">
      <c r="B132" s="74"/>
      <c r="C132" s="67"/>
    </row>
    <row r="133">
      <c r="B133" s="74"/>
      <c r="C133" s="67"/>
    </row>
    <row r="134">
      <c r="B134" s="74"/>
      <c r="C134" s="67"/>
    </row>
    <row r="135">
      <c r="B135" s="74"/>
      <c r="C135" s="67"/>
    </row>
    <row r="136">
      <c r="B136" s="74"/>
      <c r="C136" s="67"/>
    </row>
    <row r="137">
      <c r="B137" s="74"/>
      <c r="C137" s="67"/>
    </row>
    <row r="138">
      <c r="B138" s="74"/>
      <c r="C138" s="67"/>
    </row>
    <row r="139">
      <c r="B139" s="74"/>
      <c r="C139" s="67"/>
    </row>
    <row r="140">
      <c r="B140" s="74"/>
      <c r="C140" s="67"/>
    </row>
    <row r="141">
      <c r="B141" s="74"/>
      <c r="C141" s="67"/>
    </row>
    <row r="142">
      <c r="B142" s="74"/>
      <c r="C142" s="67"/>
    </row>
    <row r="143">
      <c r="B143" s="74"/>
      <c r="C143" s="67"/>
    </row>
    <row r="144">
      <c r="B144" s="74"/>
      <c r="C144" s="67"/>
    </row>
    <row r="145">
      <c r="B145" s="74"/>
      <c r="C145" s="67"/>
    </row>
    <row r="146">
      <c r="B146" s="74"/>
      <c r="C146" s="67"/>
    </row>
    <row r="147">
      <c r="B147" s="74"/>
      <c r="C147" s="67"/>
    </row>
    <row r="148">
      <c r="B148" s="74"/>
      <c r="C148" s="67"/>
    </row>
    <row r="149">
      <c r="B149" s="74"/>
      <c r="C149" s="67"/>
    </row>
    <row r="150">
      <c r="B150" s="74"/>
      <c r="C150" s="67"/>
    </row>
    <row r="151">
      <c r="B151" s="74"/>
      <c r="C151" s="67"/>
    </row>
    <row r="152">
      <c r="B152" s="74"/>
      <c r="C152" s="67"/>
    </row>
    <row r="153">
      <c r="B153" s="74"/>
      <c r="C153" s="67"/>
    </row>
    <row r="154">
      <c r="B154" s="74"/>
      <c r="C154" s="67"/>
    </row>
    <row r="155">
      <c r="B155" s="74"/>
      <c r="C155" s="67"/>
    </row>
    <row r="156">
      <c r="B156" s="74"/>
      <c r="C156" s="67"/>
    </row>
    <row r="157">
      <c r="B157" s="74"/>
      <c r="C157" s="67"/>
    </row>
    <row r="158">
      <c r="B158" s="74"/>
      <c r="C158" s="67"/>
    </row>
    <row r="159">
      <c r="B159" s="74"/>
      <c r="C159" s="67"/>
    </row>
    <row r="160">
      <c r="B160" s="74"/>
      <c r="C160" s="67"/>
    </row>
    <row r="161">
      <c r="B161" s="74"/>
      <c r="C161" s="67"/>
    </row>
    <row r="162">
      <c r="B162" s="74"/>
      <c r="C162" s="67"/>
    </row>
    <row r="163">
      <c r="B163" s="74"/>
      <c r="C163" s="67"/>
    </row>
    <row r="164">
      <c r="B164" s="74"/>
      <c r="C164" s="67"/>
    </row>
    <row r="165">
      <c r="B165" s="74"/>
      <c r="C165" s="67"/>
    </row>
    <row r="166">
      <c r="B166" s="74"/>
      <c r="C166" s="67"/>
    </row>
    <row r="167">
      <c r="B167" s="74"/>
      <c r="C167" s="67"/>
    </row>
    <row r="168">
      <c r="B168" s="74"/>
      <c r="C168" s="67"/>
    </row>
    <row r="169">
      <c r="B169" s="74"/>
      <c r="C169" s="67"/>
    </row>
    <row r="170">
      <c r="B170" s="74"/>
      <c r="C170" s="67"/>
    </row>
    <row r="171">
      <c r="B171" s="74"/>
      <c r="C171" s="67"/>
    </row>
    <row r="172">
      <c r="B172" s="74"/>
      <c r="C172" s="67"/>
    </row>
    <row r="173">
      <c r="B173" s="74"/>
      <c r="C173" s="67"/>
    </row>
    <row r="174">
      <c r="B174" s="74"/>
      <c r="C174" s="67"/>
    </row>
    <row r="175">
      <c r="B175" s="74"/>
      <c r="C175" s="67"/>
    </row>
    <row r="176">
      <c r="B176" s="74"/>
      <c r="C176" s="67"/>
    </row>
    <row r="177">
      <c r="B177" s="74"/>
      <c r="C177" s="67"/>
    </row>
    <row r="178">
      <c r="B178" s="74"/>
      <c r="C178" s="67"/>
    </row>
    <row r="179">
      <c r="B179" s="74"/>
      <c r="C179" s="67"/>
    </row>
    <row r="180">
      <c r="B180" s="74"/>
      <c r="C180" s="67"/>
    </row>
    <row r="181">
      <c r="B181" s="74"/>
      <c r="C181" s="67"/>
    </row>
    <row r="182">
      <c r="B182" s="74"/>
      <c r="C182" s="67"/>
    </row>
    <row r="183">
      <c r="B183" s="74"/>
      <c r="C183" s="67"/>
    </row>
    <row r="184">
      <c r="B184" s="74"/>
      <c r="C184" s="67"/>
    </row>
    <row r="185">
      <c r="B185" s="74"/>
      <c r="C185" s="67"/>
    </row>
    <row r="186">
      <c r="B186" s="74"/>
      <c r="C186" s="67"/>
    </row>
    <row r="187">
      <c r="B187" s="74"/>
      <c r="C187" s="67"/>
    </row>
    <row r="188">
      <c r="B188" s="74"/>
      <c r="C188" s="67"/>
    </row>
    <row r="189">
      <c r="B189" s="74"/>
      <c r="C189" s="67"/>
    </row>
    <row r="190">
      <c r="B190" s="74"/>
      <c r="C190" s="67"/>
    </row>
    <row r="191">
      <c r="B191" s="74"/>
      <c r="C191" s="67"/>
    </row>
    <row r="192">
      <c r="B192" s="74"/>
      <c r="C192" s="67"/>
    </row>
    <row r="193">
      <c r="B193" s="74"/>
      <c r="C193" s="67"/>
    </row>
    <row r="194">
      <c r="B194" s="74"/>
      <c r="C194" s="67"/>
    </row>
    <row r="195">
      <c r="B195" s="74"/>
      <c r="C195" s="67"/>
    </row>
    <row r="196">
      <c r="B196" s="74"/>
      <c r="C196" s="67"/>
    </row>
    <row r="197">
      <c r="B197" s="74"/>
      <c r="C197" s="67"/>
    </row>
    <row r="198">
      <c r="B198" s="74"/>
      <c r="C198" s="67"/>
    </row>
    <row r="199">
      <c r="B199" s="74"/>
      <c r="C199" s="67"/>
    </row>
    <row r="200">
      <c r="B200" s="74"/>
      <c r="C200" s="67"/>
    </row>
    <row r="201">
      <c r="B201" s="74"/>
      <c r="C201" s="67"/>
    </row>
    <row r="202">
      <c r="B202" s="74"/>
      <c r="C202" s="67"/>
    </row>
    <row r="203">
      <c r="B203" s="74"/>
      <c r="C203" s="67"/>
    </row>
    <row r="204">
      <c r="B204" s="74"/>
      <c r="C204" s="67"/>
    </row>
    <row r="205">
      <c r="B205" s="74"/>
      <c r="C205" s="67"/>
    </row>
    <row r="206">
      <c r="B206" s="74"/>
      <c r="C206" s="67"/>
    </row>
    <row r="207">
      <c r="B207" s="74"/>
      <c r="C207" s="67"/>
    </row>
    <row r="208">
      <c r="B208" s="74"/>
      <c r="C208" s="67"/>
    </row>
    <row r="209">
      <c r="B209" s="74"/>
      <c r="C209" s="67"/>
    </row>
    <row r="210">
      <c r="B210" s="74"/>
      <c r="C210" s="67"/>
    </row>
    <row r="211">
      <c r="B211" s="74"/>
      <c r="C211" s="67"/>
    </row>
    <row r="212">
      <c r="B212" s="74"/>
      <c r="C212" s="67"/>
    </row>
    <row r="213">
      <c r="B213" s="74"/>
      <c r="C213" s="67"/>
    </row>
    <row r="214">
      <c r="B214" s="74"/>
      <c r="C214" s="67"/>
    </row>
    <row r="215">
      <c r="B215" s="74"/>
      <c r="C215" s="67"/>
    </row>
    <row r="216">
      <c r="B216" s="74"/>
      <c r="C216" s="67"/>
    </row>
    <row r="217">
      <c r="B217" s="74"/>
      <c r="C217" s="67"/>
    </row>
    <row r="218">
      <c r="B218" s="74"/>
      <c r="C218" s="67"/>
    </row>
    <row r="219">
      <c r="B219" s="74"/>
      <c r="C219" s="67"/>
    </row>
    <row r="220">
      <c r="B220" s="74"/>
      <c r="C220" s="67"/>
    </row>
    <row r="221">
      <c r="B221" s="74"/>
      <c r="C221" s="67"/>
    </row>
    <row r="222">
      <c r="B222" s="74"/>
      <c r="C222" s="67"/>
    </row>
    <row r="223">
      <c r="B223" s="74"/>
      <c r="C223" s="67"/>
    </row>
    <row r="224">
      <c r="B224" s="74"/>
      <c r="C224" s="67"/>
    </row>
    <row r="225">
      <c r="B225" s="74"/>
      <c r="C225" s="67"/>
    </row>
    <row r="226">
      <c r="B226" s="74"/>
      <c r="C226" s="67"/>
    </row>
    <row r="227">
      <c r="B227" s="74"/>
      <c r="C227" s="67"/>
    </row>
    <row r="228">
      <c r="B228" s="74"/>
      <c r="C228" s="67"/>
    </row>
    <row r="229">
      <c r="B229" s="74"/>
      <c r="C229" s="67"/>
    </row>
    <row r="230">
      <c r="B230" s="74"/>
      <c r="C230" s="67"/>
    </row>
    <row r="231">
      <c r="B231" s="74"/>
      <c r="C231" s="67"/>
    </row>
    <row r="232">
      <c r="B232" s="74"/>
      <c r="C232" s="67"/>
    </row>
    <row r="233">
      <c r="B233" s="74"/>
      <c r="C233" s="67"/>
    </row>
    <row r="234">
      <c r="B234" s="74"/>
      <c r="C234" s="67"/>
    </row>
    <row r="235">
      <c r="B235" s="74"/>
      <c r="C235" s="67"/>
    </row>
    <row r="236">
      <c r="B236" s="74"/>
      <c r="C236" s="67"/>
    </row>
    <row r="237">
      <c r="B237" s="74"/>
      <c r="C237" s="67"/>
    </row>
    <row r="238">
      <c r="B238" s="74"/>
      <c r="C238" s="67"/>
    </row>
    <row r="239">
      <c r="B239" s="74"/>
      <c r="C239" s="67"/>
    </row>
    <row r="240">
      <c r="B240" s="74"/>
      <c r="C240" s="67"/>
    </row>
    <row r="241">
      <c r="B241" s="74"/>
      <c r="C241" s="67"/>
    </row>
    <row r="242">
      <c r="B242" s="74"/>
      <c r="C242" s="67"/>
    </row>
    <row r="243">
      <c r="B243" s="74"/>
      <c r="C243" s="67"/>
    </row>
    <row r="244">
      <c r="B244" s="74"/>
      <c r="C244" s="67"/>
    </row>
    <row r="245">
      <c r="B245" s="74"/>
      <c r="C245" s="67"/>
    </row>
    <row r="246">
      <c r="B246" s="74"/>
      <c r="C246" s="67"/>
    </row>
    <row r="247">
      <c r="B247" s="74"/>
      <c r="C247" s="67"/>
    </row>
    <row r="248">
      <c r="B248" s="74"/>
      <c r="C248" s="67"/>
    </row>
    <row r="249">
      <c r="B249" s="74"/>
      <c r="C249" s="67"/>
    </row>
    <row r="250">
      <c r="B250" s="74"/>
      <c r="C250" s="67"/>
    </row>
    <row r="251">
      <c r="B251" s="74"/>
      <c r="C251" s="67"/>
    </row>
    <row r="252">
      <c r="B252" s="74"/>
      <c r="C252" s="67"/>
    </row>
    <row r="253">
      <c r="B253" s="74"/>
      <c r="C253" s="67"/>
    </row>
    <row r="254">
      <c r="B254" s="74"/>
      <c r="C254" s="67"/>
    </row>
    <row r="255">
      <c r="B255" s="74"/>
      <c r="C255" s="67"/>
    </row>
    <row r="256">
      <c r="B256" s="74"/>
      <c r="C256" s="67"/>
    </row>
    <row r="257">
      <c r="B257" s="74"/>
      <c r="C257" s="67"/>
    </row>
    <row r="258">
      <c r="B258" s="74"/>
      <c r="C258" s="67"/>
    </row>
    <row r="259">
      <c r="B259" s="74"/>
      <c r="C259" s="67"/>
    </row>
    <row r="260">
      <c r="B260" s="74"/>
      <c r="C260" s="67"/>
    </row>
    <row r="261">
      <c r="B261" s="74"/>
      <c r="C261" s="67"/>
    </row>
    <row r="262">
      <c r="B262" s="74"/>
      <c r="C262" s="67"/>
    </row>
    <row r="263">
      <c r="B263" s="74"/>
      <c r="C263" s="67"/>
    </row>
    <row r="264">
      <c r="B264" s="74"/>
      <c r="C264" s="67"/>
    </row>
    <row r="265">
      <c r="B265" s="74"/>
      <c r="C265" s="67"/>
    </row>
    <row r="266">
      <c r="B266" s="74"/>
      <c r="C266" s="67"/>
    </row>
    <row r="267">
      <c r="B267" s="74"/>
      <c r="C267" s="67"/>
    </row>
    <row r="268">
      <c r="B268" s="74"/>
      <c r="C268" s="67"/>
    </row>
    <row r="269">
      <c r="B269" s="74"/>
      <c r="C269" s="67"/>
    </row>
    <row r="270">
      <c r="B270" s="74"/>
      <c r="C270" s="67"/>
    </row>
    <row r="271">
      <c r="B271" s="74"/>
      <c r="C271" s="67"/>
    </row>
    <row r="272">
      <c r="B272" s="74"/>
      <c r="C272" s="67"/>
    </row>
    <row r="273">
      <c r="B273" s="74"/>
      <c r="C273" s="67"/>
    </row>
    <row r="274">
      <c r="B274" s="74"/>
      <c r="C274" s="67"/>
    </row>
    <row r="275">
      <c r="B275" s="74"/>
      <c r="C275" s="67"/>
    </row>
    <row r="276">
      <c r="B276" s="74"/>
      <c r="C276" s="67"/>
    </row>
    <row r="277">
      <c r="B277" s="74"/>
      <c r="C277" s="67"/>
    </row>
    <row r="278">
      <c r="B278" s="74"/>
      <c r="C278" s="67"/>
    </row>
    <row r="279">
      <c r="B279" s="74"/>
      <c r="C279" s="67"/>
    </row>
    <row r="280">
      <c r="B280" s="74"/>
      <c r="C280" s="67"/>
    </row>
    <row r="281">
      <c r="B281" s="74"/>
      <c r="C281" s="67"/>
    </row>
    <row r="282">
      <c r="B282" s="74"/>
      <c r="C282" s="67"/>
    </row>
    <row r="283">
      <c r="B283" s="74"/>
      <c r="C283" s="67"/>
    </row>
    <row r="284">
      <c r="B284" s="74"/>
      <c r="C284" s="67"/>
    </row>
    <row r="285">
      <c r="B285" s="74"/>
      <c r="C285" s="67"/>
    </row>
    <row r="286">
      <c r="B286" s="74"/>
      <c r="C286" s="67"/>
    </row>
    <row r="287">
      <c r="B287" s="74"/>
      <c r="C287" s="67"/>
    </row>
    <row r="288">
      <c r="B288" s="74"/>
      <c r="C288" s="67"/>
    </row>
    <row r="289">
      <c r="B289" s="74"/>
      <c r="C289" s="67"/>
    </row>
    <row r="290">
      <c r="B290" s="74"/>
      <c r="C290" s="67"/>
    </row>
    <row r="291">
      <c r="B291" s="74"/>
      <c r="C291" s="67"/>
    </row>
    <row r="292">
      <c r="B292" s="74"/>
      <c r="C292" s="67"/>
    </row>
    <row r="293">
      <c r="B293" s="74"/>
      <c r="C293" s="67"/>
    </row>
    <row r="294">
      <c r="B294" s="74"/>
      <c r="C294" s="67"/>
    </row>
    <row r="295">
      <c r="B295" s="74"/>
      <c r="C295" s="67"/>
    </row>
    <row r="296">
      <c r="B296" s="74"/>
      <c r="C296" s="67"/>
    </row>
    <row r="297">
      <c r="B297" s="74"/>
      <c r="C297" s="67"/>
    </row>
    <row r="298">
      <c r="B298" s="74"/>
      <c r="C298" s="67"/>
    </row>
    <row r="299">
      <c r="B299" s="74"/>
      <c r="C299" s="67"/>
    </row>
    <row r="300">
      <c r="B300" s="74"/>
      <c r="C300" s="67"/>
    </row>
    <row r="301">
      <c r="B301" s="74"/>
      <c r="C301" s="67"/>
    </row>
    <row r="302">
      <c r="B302" s="74"/>
      <c r="C302" s="67"/>
    </row>
    <row r="303">
      <c r="B303" s="74"/>
      <c r="C303" s="67"/>
    </row>
    <row r="304">
      <c r="B304" s="74"/>
      <c r="C304" s="67"/>
    </row>
    <row r="305">
      <c r="B305" s="74"/>
      <c r="C305" s="67"/>
    </row>
    <row r="306">
      <c r="B306" s="74"/>
      <c r="C306" s="67"/>
    </row>
    <row r="307">
      <c r="B307" s="74"/>
      <c r="C307" s="67"/>
    </row>
    <row r="308">
      <c r="B308" s="74"/>
      <c r="C308" s="67"/>
    </row>
    <row r="309">
      <c r="B309" s="74"/>
      <c r="C309" s="67"/>
    </row>
    <row r="310">
      <c r="B310" s="74"/>
      <c r="C310" s="67"/>
    </row>
    <row r="311">
      <c r="B311" s="74"/>
      <c r="C311" s="67"/>
    </row>
    <row r="312">
      <c r="B312" s="74"/>
      <c r="C312" s="67"/>
    </row>
    <row r="313">
      <c r="B313" s="74"/>
      <c r="C313" s="67"/>
    </row>
    <row r="314">
      <c r="B314" s="74"/>
      <c r="C314" s="67"/>
    </row>
    <row r="315">
      <c r="B315" s="74"/>
      <c r="C315" s="67"/>
    </row>
    <row r="316">
      <c r="B316" s="74"/>
      <c r="C316" s="67"/>
    </row>
    <row r="317">
      <c r="B317" s="74"/>
      <c r="C317" s="67"/>
    </row>
    <row r="318">
      <c r="B318" s="74"/>
      <c r="C318" s="67"/>
    </row>
    <row r="319">
      <c r="B319" s="74"/>
      <c r="C319" s="67"/>
    </row>
    <row r="320">
      <c r="B320" s="74"/>
      <c r="C320" s="67"/>
    </row>
    <row r="321">
      <c r="B321" s="74"/>
      <c r="C321" s="67"/>
    </row>
    <row r="322">
      <c r="B322" s="74"/>
      <c r="C322" s="67"/>
    </row>
    <row r="323">
      <c r="B323" s="74"/>
      <c r="C323" s="67"/>
    </row>
    <row r="324">
      <c r="B324" s="74"/>
      <c r="C324" s="67"/>
    </row>
    <row r="325">
      <c r="B325" s="74"/>
      <c r="C325" s="67"/>
    </row>
    <row r="326">
      <c r="B326" s="74"/>
      <c r="C326" s="67"/>
    </row>
    <row r="327">
      <c r="B327" s="74"/>
      <c r="C327" s="67"/>
    </row>
    <row r="328">
      <c r="B328" s="74"/>
      <c r="C328" s="67"/>
    </row>
    <row r="329">
      <c r="B329" s="74"/>
      <c r="C329" s="67"/>
    </row>
    <row r="330">
      <c r="B330" s="74"/>
      <c r="C330" s="67"/>
    </row>
    <row r="331">
      <c r="B331" s="74"/>
      <c r="C331" s="67"/>
    </row>
    <row r="332">
      <c r="B332" s="74"/>
      <c r="C332" s="67"/>
    </row>
    <row r="333">
      <c r="B333" s="74"/>
      <c r="C333" s="67"/>
    </row>
    <row r="334">
      <c r="B334" s="74"/>
      <c r="C334" s="67"/>
    </row>
    <row r="335">
      <c r="B335" s="74"/>
      <c r="C335" s="67"/>
    </row>
    <row r="336">
      <c r="B336" s="74"/>
      <c r="C336" s="67"/>
    </row>
    <row r="337">
      <c r="B337" s="74"/>
      <c r="C337" s="67"/>
    </row>
    <row r="338">
      <c r="B338" s="74"/>
      <c r="C338" s="67"/>
    </row>
    <row r="339">
      <c r="B339" s="74"/>
      <c r="C339" s="67"/>
    </row>
    <row r="340">
      <c r="B340" s="74"/>
      <c r="C340" s="67"/>
    </row>
    <row r="341">
      <c r="B341" s="74"/>
      <c r="C341" s="67"/>
    </row>
    <row r="342">
      <c r="B342" s="74"/>
      <c r="C342" s="67"/>
    </row>
    <row r="343">
      <c r="B343" s="74"/>
      <c r="C343" s="67"/>
    </row>
    <row r="344">
      <c r="B344" s="74"/>
      <c r="C344" s="67"/>
    </row>
    <row r="345">
      <c r="B345" s="74"/>
      <c r="C345" s="67"/>
    </row>
    <row r="346">
      <c r="B346" s="74"/>
      <c r="C346" s="67"/>
    </row>
    <row r="347">
      <c r="B347" s="74"/>
      <c r="C347" s="67"/>
    </row>
    <row r="348">
      <c r="B348" s="74"/>
      <c r="C348" s="67"/>
    </row>
    <row r="349">
      <c r="B349" s="74"/>
      <c r="C349" s="67"/>
    </row>
    <row r="350">
      <c r="B350" s="74"/>
      <c r="C350" s="67"/>
    </row>
    <row r="351">
      <c r="B351" s="74"/>
      <c r="C351" s="67"/>
    </row>
    <row r="352">
      <c r="B352" s="74"/>
      <c r="C352" s="67"/>
    </row>
    <row r="353">
      <c r="B353" s="74"/>
      <c r="C353" s="67"/>
    </row>
    <row r="354">
      <c r="B354" s="74"/>
      <c r="C354" s="67"/>
    </row>
    <row r="355">
      <c r="B355" s="74"/>
      <c r="C355" s="67"/>
    </row>
    <row r="356">
      <c r="B356" s="74"/>
      <c r="C356" s="67"/>
    </row>
    <row r="357">
      <c r="B357" s="74"/>
      <c r="C357" s="67"/>
    </row>
    <row r="358">
      <c r="B358" s="74"/>
      <c r="C358" s="67"/>
    </row>
    <row r="359">
      <c r="B359" s="74"/>
      <c r="C359" s="67"/>
    </row>
    <row r="360">
      <c r="B360" s="74"/>
      <c r="C360" s="67"/>
    </row>
    <row r="361">
      <c r="B361" s="74"/>
      <c r="C361" s="67"/>
    </row>
    <row r="362">
      <c r="B362" s="74"/>
      <c r="C362" s="67"/>
    </row>
    <row r="363">
      <c r="B363" s="74"/>
      <c r="C363" s="67"/>
    </row>
    <row r="364">
      <c r="B364" s="74"/>
      <c r="C364" s="67"/>
    </row>
    <row r="365">
      <c r="B365" s="74"/>
      <c r="C365" s="67"/>
    </row>
    <row r="366">
      <c r="B366" s="74"/>
      <c r="C366" s="67"/>
    </row>
    <row r="367">
      <c r="B367" s="74"/>
      <c r="C367" s="67"/>
    </row>
    <row r="368">
      <c r="B368" s="74"/>
      <c r="C368" s="67"/>
    </row>
    <row r="369">
      <c r="B369" s="74"/>
      <c r="C369" s="67"/>
    </row>
    <row r="370">
      <c r="B370" s="74"/>
      <c r="C370" s="67"/>
    </row>
    <row r="371">
      <c r="B371" s="74"/>
      <c r="C371" s="67"/>
    </row>
    <row r="372">
      <c r="B372" s="74"/>
      <c r="C372" s="67"/>
    </row>
    <row r="373">
      <c r="B373" s="74"/>
      <c r="C373" s="67"/>
    </row>
    <row r="374">
      <c r="B374" s="74"/>
      <c r="C374" s="67"/>
    </row>
    <row r="375">
      <c r="B375" s="74"/>
      <c r="C375" s="67"/>
    </row>
    <row r="376">
      <c r="B376" s="74"/>
      <c r="C376" s="67"/>
    </row>
    <row r="377">
      <c r="B377" s="74"/>
      <c r="C377" s="67"/>
    </row>
    <row r="378">
      <c r="B378" s="74"/>
      <c r="C378" s="67"/>
    </row>
    <row r="379">
      <c r="B379" s="74"/>
      <c r="C379" s="67"/>
    </row>
    <row r="380">
      <c r="B380" s="74"/>
      <c r="C380" s="67"/>
    </row>
    <row r="381">
      <c r="B381" s="74"/>
      <c r="C381" s="67"/>
    </row>
    <row r="382">
      <c r="B382" s="74"/>
      <c r="C382" s="67"/>
    </row>
    <row r="383">
      <c r="B383" s="74"/>
      <c r="C383" s="67"/>
    </row>
    <row r="384">
      <c r="B384" s="74"/>
      <c r="C384" s="67"/>
    </row>
    <row r="385">
      <c r="B385" s="74"/>
      <c r="C385" s="67"/>
    </row>
    <row r="386">
      <c r="B386" s="74"/>
      <c r="C386" s="67"/>
    </row>
    <row r="387">
      <c r="B387" s="74"/>
      <c r="C387" s="67"/>
    </row>
    <row r="388">
      <c r="B388" s="74"/>
      <c r="C388" s="67"/>
    </row>
    <row r="389">
      <c r="B389" s="74"/>
      <c r="C389" s="67"/>
    </row>
    <row r="390">
      <c r="B390" s="74"/>
      <c r="C390" s="67"/>
    </row>
    <row r="391">
      <c r="B391" s="74"/>
      <c r="C391" s="67"/>
    </row>
    <row r="392">
      <c r="B392" s="74"/>
      <c r="C392" s="67"/>
    </row>
    <row r="393">
      <c r="B393" s="74"/>
      <c r="C393" s="67"/>
    </row>
    <row r="394">
      <c r="B394" s="74"/>
      <c r="C394" s="67"/>
    </row>
    <row r="395">
      <c r="B395" s="74"/>
      <c r="C395" s="67"/>
    </row>
    <row r="396">
      <c r="B396" s="74"/>
      <c r="C396" s="67"/>
    </row>
    <row r="397">
      <c r="B397" s="74"/>
      <c r="C397" s="67"/>
    </row>
    <row r="398">
      <c r="B398" s="74"/>
      <c r="C398" s="67"/>
    </row>
    <row r="399">
      <c r="B399" s="74"/>
      <c r="C399" s="67"/>
    </row>
    <row r="400">
      <c r="B400" s="74"/>
      <c r="C400" s="67"/>
    </row>
    <row r="401">
      <c r="B401" s="74"/>
      <c r="C401" s="67"/>
    </row>
    <row r="402">
      <c r="B402" s="74"/>
      <c r="C402" s="67"/>
    </row>
    <row r="403">
      <c r="B403" s="74"/>
      <c r="C403" s="67"/>
    </row>
    <row r="404">
      <c r="B404" s="74"/>
      <c r="C404" s="67"/>
    </row>
    <row r="405">
      <c r="B405" s="74"/>
      <c r="C405" s="67"/>
    </row>
    <row r="406">
      <c r="B406" s="74"/>
      <c r="C406" s="67"/>
    </row>
    <row r="407">
      <c r="B407" s="74"/>
      <c r="C407" s="67"/>
    </row>
    <row r="408">
      <c r="B408" s="74"/>
      <c r="C408" s="67"/>
    </row>
    <row r="409">
      <c r="B409" s="74"/>
      <c r="C409" s="67"/>
    </row>
    <row r="410">
      <c r="B410" s="74"/>
      <c r="C410" s="67"/>
    </row>
    <row r="411">
      <c r="B411" s="74"/>
      <c r="C411" s="67"/>
    </row>
    <row r="412">
      <c r="B412" s="74"/>
      <c r="C412" s="67"/>
    </row>
    <row r="413">
      <c r="B413" s="74"/>
      <c r="C413" s="67"/>
    </row>
    <row r="414">
      <c r="B414" s="74"/>
      <c r="C414" s="67"/>
    </row>
    <row r="415">
      <c r="B415" s="74"/>
      <c r="C415" s="67"/>
    </row>
    <row r="416">
      <c r="B416" s="74"/>
      <c r="C416" s="67"/>
    </row>
    <row r="417">
      <c r="B417" s="74"/>
      <c r="C417" s="67"/>
    </row>
    <row r="418">
      <c r="B418" s="74"/>
      <c r="C418" s="67"/>
    </row>
    <row r="419">
      <c r="B419" s="74"/>
      <c r="C419" s="67"/>
    </row>
    <row r="420">
      <c r="B420" s="74"/>
      <c r="C420" s="67"/>
    </row>
    <row r="421">
      <c r="B421" s="74"/>
      <c r="C421" s="67"/>
    </row>
    <row r="422">
      <c r="B422" s="74"/>
      <c r="C422" s="67"/>
    </row>
    <row r="423">
      <c r="B423" s="74"/>
      <c r="C423" s="67"/>
    </row>
    <row r="424">
      <c r="B424" s="74"/>
      <c r="C424" s="67"/>
    </row>
    <row r="425">
      <c r="B425" s="74"/>
      <c r="C425" s="67"/>
    </row>
    <row r="426">
      <c r="B426" s="74"/>
      <c r="C426" s="67"/>
    </row>
    <row r="427">
      <c r="B427" s="74"/>
      <c r="C427" s="67"/>
    </row>
    <row r="428">
      <c r="B428" s="74"/>
      <c r="C428" s="67"/>
    </row>
    <row r="429">
      <c r="B429" s="74"/>
      <c r="C429" s="67"/>
    </row>
    <row r="430">
      <c r="B430" s="74"/>
      <c r="C430" s="67"/>
    </row>
    <row r="431">
      <c r="B431" s="74"/>
      <c r="C431" s="67"/>
    </row>
    <row r="432">
      <c r="B432" s="74"/>
      <c r="C432" s="67"/>
    </row>
    <row r="433">
      <c r="B433" s="74"/>
      <c r="C433" s="67"/>
    </row>
    <row r="434">
      <c r="B434" s="74"/>
      <c r="C434" s="67"/>
    </row>
    <row r="435">
      <c r="B435" s="74"/>
      <c r="C435" s="67"/>
    </row>
    <row r="436">
      <c r="B436" s="74"/>
      <c r="C436" s="67"/>
    </row>
    <row r="437">
      <c r="B437" s="74"/>
      <c r="C437" s="67"/>
    </row>
    <row r="438">
      <c r="B438" s="74"/>
      <c r="C438" s="67"/>
    </row>
    <row r="439">
      <c r="B439" s="74"/>
      <c r="C439" s="67"/>
    </row>
    <row r="440">
      <c r="B440" s="74"/>
      <c r="C440" s="67"/>
    </row>
    <row r="441">
      <c r="B441" s="74"/>
      <c r="C441" s="67"/>
    </row>
    <row r="442">
      <c r="B442" s="74"/>
      <c r="C442" s="67"/>
    </row>
    <row r="443">
      <c r="B443" s="74"/>
      <c r="C443" s="67"/>
    </row>
    <row r="444">
      <c r="B444" s="74"/>
      <c r="C444" s="67"/>
    </row>
    <row r="445">
      <c r="B445" s="74"/>
      <c r="C445" s="67"/>
    </row>
    <row r="446">
      <c r="B446" s="74"/>
      <c r="C446" s="67"/>
    </row>
    <row r="447">
      <c r="B447" s="74"/>
      <c r="C447" s="67"/>
    </row>
    <row r="448">
      <c r="B448" s="74"/>
      <c r="C448" s="67"/>
    </row>
    <row r="449">
      <c r="B449" s="74"/>
      <c r="C449" s="67"/>
    </row>
    <row r="450">
      <c r="B450" s="74"/>
      <c r="C450" s="67"/>
    </row>
    <row r="451">
      <c r="B451" s="74"/>
      <c r="C451" s="67"/>
    </row>
    <row r="452">
      <c r="B452" s="74"/>
      <c r="C452" s="67"/>
    </row>
    <row r="453">
      <c r="B453" s="74"/>
      <c r="C453" s="67"/>
    </row>
    <row r="454">
      <c r="B454" s="74"/>
      <c r="C454" s="67"/>
    </row>
    <row r="455">
      <c r="B455" s="74"/>
      <c r="C455" s="67"/>
    </row>
    <row r="456">
      <c r="B456" s="74"/>
      <c r="C456" s="67"/>
    </row>
    <row r="457">
      <c r="B457" s="74"/>
      <c r="C457" s="67"/>
    </row>
    <row r="458">
      <c r="B458" s="74"/>
      <c r="C458" s="67"/>
    </row>
    <row r="459">
      <c r="B459" s="74"/>
      <c r="C459" s="67"/>
    </row>
    <row r="460">
      <c r="B460" s="74"/>
      <c r="C460" s="67"/>
    </row>
    <row r="461">
      <c r="B461" s="74"/>
      <c r="C461" s="67"/>
    </row>
    <row r="462">
      <c r="B462" s="74"/>
      <c r="C462" s="67"/>
    </row>
    <row r="463">
      <c r="B463" s="74"/>
      <c r="C463" s="67"/>
    </row>
    <row r="464">
      <c r="B464" s="74"/>
      <c r="C464" s="67"/>
    </row>
    <row r="465">
      <c r="B465" s="74"/>
      <c r="C465" s="67"/>
    </row>
    <row r="466">
      <c r="B466" s="74"/>
      <c r="C466" s="67"/>
    </row>
    <row r="467">
      <c r="B467" s="74"/>
      <c r="C467" s="67"/>
    </row>
    <row r="468">
      <c r="B468" s="74"/>
      <c r="C468" s="67"/>
    </row>
    <row r="469">
      <c r="B469" s="74"/>
      <c r="C469" s="67"/>
    </row>
    <row r="470">
      <c r="B470" s="74"/>
      <c r="C470" s="67"/>
    </row>
    <row r="471">
      <c r="B471" s="74"/>
      <c r="C471" s="67"/>
    </row>
    <row r="472">
      <c r="B472" s="74"/>
      <c r="C472" s="67"/>
    </row>
    <row r="473">
      <c r="B473" s="74"/>
      <c r="C473" s="67"/>
    </row>
    <row r="474">
      <c r="B474" s="74"/>
      <c r="C474" s="67"/>
    </row>
    <row r="475">
      <c r="B475" s="74"/>
      <c r="C475" s="67"/>
    </row>
    <row r="476">
      <c r="B476" s="74"/>
      <c r="C476" s="67"/>
    </row>
    <row r="477">
      <c r="B477" s="74"/>
      <c r="C477" s="67"/>
    </row>
    <row r="478">
      <c r="B478" s="74"/>
      <c r="C478" s="67"/>
    </row>
    <row r="479">
      <c r="B479" s="74"/>
      <c r="C479" s="67"/>
    </row>
    <row r="480">
      <c r="B480" s="74"/>
      <c r="C480" s="67"/>
    </row>
    <row r="481">
      <c r="B481" s="74"/>
      <c r="C481" s="67"/>
    </row>
    <row r="482">
      <c r="B482" s="74"/>
      <c r="C482" s="67"/>
    </row>
    <row r="483">
      <c r="B483" s="74"/>
      <c r="C483" s="67"/>
    </row>
    <row r="484">
      <c r="B484" s="74"/>
      <c r="C484" s="67"/>
    </row>
    <row r="485">
      <c r="B485" s="74"/>
      <c r="C485" s="67"/>
    </row>
    <row r="486">
      <c r="B486" s="74"/>
      <c r="C486" s="67"/>
    </row>
    <row r="487">
      <c r="B487" s="74"/>
      <c r="C487" s="67"/>
    </row>
    <row r="488">
      <c r="B488" s="74"/>
      <c r="C488" s="67"/>
    </row>
    <row r="489">
      <c r="B489" s="74"/>
      <c r="C489" s="67"/>
    </row>
    <row r="490">
      <c r="B490" s="74"/>
      <c r="C490" s="67"/>
    </row>
    <row r="491">
      <c r="B491" s="74"/>
      <c r="C491" s="67"/>
    </row>
    <row r="492">
      <c r="B492" s="74"/>
      <c r="C492" s="67"/>
    </row>
    <row r="493">
      <c r="B493" s="74"/>
      <c r="C493" s="67"/>
    </row>
    <row r="494">
      <c r="B494" s="74"/>
      <c r="C494" s="67"/>
    </row>
    <row r="495">
      <c r="B495" s="74"/>
      <c r="C495" s="67"/>
    </row>
    <row r="496">
      <c r="B496" s="74"/>
      <c r="C496" s="67"/>
    </row>
    <row r="497">
      <c r="B497" s="74"/>
      <c r="C497" s="67"/>
    </row>
    <row r="498">
      <c r="B498" s="74"/>
      <c r="C498" s="67"/>
    </row>
    <row r="499">
      <c r="B499" s="74"/>
      <c r="C499" s="67"/>
    </row>
    <row r="500">
      <c r="B500" s="74"/>
      <c r="C500" s="67"/>
    </row>
    <row r="501">
      <c r="B501" s="74"/>
      <c r="C501" s="67"/>
    </row>
    <row r="502">
      <c r="B502" s="74"/>
      <c r="C502" s="67"/>
    </row>
    <row r="503">
      <c r="B503" s="74"/>
      <c r="C503" s="67"/>
    </row>
    <row r="504">
      <c r="B504" s="74"/>
      <c r="C504" s="67"/>
    </row>
    <row r="505">
      <c r="B505" s="74"/>
      <c r="C505" s="67"/>
    </row>
    <row r="506">
      <c r="B506" s="74"/>
      <c r="C506" s="67"/>
    </row>
    <row r="507">
      <c r="B507" s="74"/>
      <c r="C507" s="67"/>
    </row>
    <row r="508">
      <c r="B508" s="74"/>
      <c r="C508" s="67"/>
    </row>
    <row r="509">
      <c r="B509" s="74"/>
      <c r="C509" s="67"/>
    </row>
    <row r="510">
      <c r="B510" s="74"/>
      <c r="C510" s="67"/>
    </row>
    <row r="511">
      <c r="B511" s="74"/>
      <c r="C511" s="67"/>
    </row>
    <row r="512">
      <c r="B512" s="74"/>
      <c r="C512" s="67"/>
    </row>
    <row r="513">
      <c r="B513" s="74"/>
      <c r="C513" s="67"/>
    </row>
    <row r="514">
      <c r="B514" s="74"/>
      <c r="C514" s="67"/>
    </row>
    <row r="515">
      <c r="B515" s="74"/>
      <c r="C515" s="67"/>
    </row>
    <row r="516">
      <c r="B516" s="74"/>
      <c r="C516" s="67"/>
    </row>
    <row r="517">
      <c r="B517" s="74"/>
      <c r="C517" s="67"/>
    </row>
    <row r="518">
      <c r="B518" s="74"/>
      <c r="C518" s="67"/>
    </row>
    <row r="519">
      <c r="B519" s="74"/>
      <c r="C519" s="67"/>
    </row>
    <row r="520">
      <c r="B520" s="74"/>
      <c r="C520" s="67"/>
    </row>
    <row r="521">
      <c r="B521" s="74"/>
      <c r="C521" s="67"/>
    </row>
    <row r="522">
      <c r="B522" s="74"/>
      <c r="C522" s="67"/>
    </row>
    <row r="523">
      <c r="B523" s="74"/>
      <c r="C523" s="67"/>
    </row>
    <row r="524">
      <c r="B524" s="74"/>
      <c r="C524" s="67"/>
    </row>
    <row r="525">
      <c r="B525" s="74"/>
      <c r="C525" s="67"/>
    </row>
    <row r="526">
      <c r="B526" s="74"/>
      <c r="C526" s="67"/>
    </row>
    <row r="527">
      <c r="B527" s="74"/>
      <c r="C527" s="67"/>
    </row>
    <row r="528">
      <c r="B528" s="74"/>
      <c r="C528" s="67"/>
    </row>
    <row r="529">
      <c r="B529" s="74"/>
      <c r="C529" s="67"/>
    </row>
    <row r="530">
      <c r="B530" s="74"/>
      <c r="C530" s="67"/>
    </row>
    <row r="531">
      <c r="B531" s="74"/>
      <c r="C531" s="67"/>
    </row>
    <row r="532">
      <c r="B532" s="74"/>
      <c r="C532" s="67"/>
    </row>
    <row r="533">
      <c r="B533" s="74"/>
      <c r="C533" s="67"/>
    </row>
    <row r="534">
      <c r="B534" s="74"/>
      <c r="C534" s="67"/>
    </row>
    <row r="535">
      <c r="B535" s="74"/>
      <c r="C535" s="67"/>
    </row>
    <row r="536">
      <c r="B536" s="74"/>
      <c r="C536" s="67"/>
    </row>
    <row r="537">
      <c r="B537" s="74"/>
      <c r="C537" s="67"/>
    </row>
    <row r="538">
      <c r="B538" s="74"/>
      <c r="C538" s="67"/>
    </row>
    <row r="539">
      <c r="B539" s="74"/>
      <c r="C539" s="67"/>
    </row>
    <row r="540">
      <c r="B540" s="74"/>
      <c r="C540" s="67"/>
    </row>
    <row r="541">
      <c r="B541" s="74"/>
      <c r="C541" s="67"/>
    </row>
    <row r="542">
      <c r="B542" s="74"/>
      <c r="C542" s="67"/>
    </row>
    <row r="543">
      <c r="B543" s="74"/>
      <c r="C543" s="67"/>
    </row>
    <row r="544">
      <c r="B544" s="74"/>
      <c r="C544" s="67"/>
    </row>
    <row r="545">
      <c r="B545" s="74"/>
      <c r="C545" s="67"/>
    </row>
    <row r="546">
      <c r="B546" s="74"/>
      <c r="C546" s="67"/>
    </row>
    <row r="547">
      <c r="B547" s="74"/>
      <c r="C547" s="67"/>
    </row>
    <row r="548">
      <c r="B548" s="74"/>
      <c r="C548" s="67"/>
    </row>
    <row r="549">
      <c r="B549" s="74"/>
      <c r="C549" s="67"/>
    </row>
    <row r="550">
      <c r="B550" s="74"/>
      <c r="C550" s="67"/>
    </row>
    <row r="551">
      <c r="B551" s="74"/>
      <c r="C551" s="67"/>
    </row>
    <row r="552">
      <c r="B552" s="74"/>
      <c r="C552" s="67"/>
    </row>
    <row r="553">
      <c r="B553" s="74"/>
      <c r="C553" s="67"/>
    </row>
    <row r="554">
      <c r="B554" s="74"/>
      <c r="C554" s="67"/>
    </row>
    <row r="555">
      <c r="B555" s="74"/>
      <c r="C555" s="67"/>
    </row>
    <row r="556">
      <c r="B556" s="74"/>
      <c r="C556" s="67"/>
    </row>
    <row r="557">
      <c r="B557" s="74"/>
      <c r="C557" s="67"/>
    </row>
    <row r="558">
      <c r="B558" s="74"/>
      <c r="C558" s="67"/>
    </row>
    <row r="559">
      <c r="B559" s="74"/>
      <c r="C559" s="67"/>
    </row>
    <row r="560">
      <c r="B560" s="74"/>
      <c r="C560" s="67"/>
    </row>
    <row r="561">
      <c r="B561" s="74"/>
      <c r="C561" s="67"/>
    </row>
    <row r="562">
      <c r="B562" s="74"/>
      <c r="C562" s="67"/>
    </row>
    <row r="563">
      <c r="B563" s="74"/>
      <c r="C563" s="67"/>
    </row>
    <row r="564">
      <c r="B564" s="74"/>
      <c r="C564" s="67"/>
    </row>
    <row r="565">
      <c r="B565" s="74"/>
      <c r="C565" s="67"/>
    </row>
    <row r="566">
      <c r="B566" s="74"/>
      <c r="C566" s="67"/>
    </row>
    <row r="567">
      <c r="B567" s="74"/>
      <c r="C567" s="67"/>
    </row>
    <row r="568">
      <c r="B568" s="74"/>
      <c r="C568" s="67"/>
    </row>
    <row r="569">
      <c r="B569" s="74"/>
      <c r="C569" s="67"/>
    </row>
    <row r="570">
      <c r="B570" s="74"/>
      <c r="C570" s="67"/>
    </row>
    <row r="571">
      <c r="B571" s="74"/>
      <c r="C571" s="67"/>
    </row>
    <row r="572">
      <c r="B572" s="74"/>
      <c r="C572" s="67"/>
    </row>
    <row r="573">
      <c r="B573" s="74"/>
      <c r="C573" s="67"/>
    </row>
    <row r="574">
      <c r="B574" s="74"/>
      <c r="C574" s="67"/>
    </row>
    <row r="575">
      <c r="B575" s="74"/>
      <c r="C575" s="67"/>
    </row>
    <row r="576">
      <c r="B576" s="74"/>
      <c r="C576" s="67"/>
    </row>
    <row r="577">
      <c r="B577" s="74"/>
      <c r="C577" s="67"/>
    </row>
    <row r="578">
      <c r="B578" s="74"/>
      <c r="C578" s="67"/>
    </row>
    <row r="579">
      <c r="B579" s="74"/>
      <c r="C579" s="67"/>
    </row>
    <row r="580">
      <c r="B580" s="74"/>
      <c r="C580" s="67"/>
    </row>
    <row r="581">
      <c r="B581" s="74"/>
      <c r="C581" s="67"/>
    </row>
    <row r="582">
      <c r="B582" s="74"/>
      <c r="C582" s="67"/>
    </row>
    <row r="583">
      <c r="B583" s="74"/>
      <c r="C583" s="67"/>
    </row>
    <row r="584">
      <c r="B584" s="74"/>
      <c r="C584" s="67"/>
    </row>
    <row r="585">
      <c r="B585" s="74"/>
      <c r="C585" s="67"/>
    </row>
    <row r="586">
      <c r="B586" s="74"/>
      <c r="C586" s="67"/>
    </row>
    <row r="587">
      <c r="B587" s="74"/>
      <c r="C587" s="67"/>
    </row>
    <row r="588">
      <c r="B588" s="74"/>
      <c r="C588" s="67"/>
    </row>
    <row r="589">
      <c r="B589" s="74"/>
      <c r="C589" s="67"/>
    </row>
    <row r="590">
      <c r="B590" s="74"/>
      <c r="C590" s="67"/>
    </row>
    <row r="591">
      <c r="B591" s="74"/>
      <c r="C591" s="67"/>
    </row>
    <row r="592">
      <c r="B592" s="74"/>
      <c r="C592" s="67"/>
    </row>
    <row r="593">
      <c r="B593" s="74"/>
      <c r="C593" s="67"/>
    </row>
    <row r="594">
      <c r="B594" s="74"/>
      <c r="C594" s="67"/>
    </row>
    <row r="595">
      <c r="B595" s="74"/>
      <c r="C595" s="67"/>
    </row>
    <row r="596">
      <c r="B596" s="74"/>
      <c r="C596" s="67"/>
    </row>
    <row r="597">
      <c r="B597" s="74"/>
      <c r="C597" s="67"/>
    </row>
    <row r="598">
      <c r="B598" s="74"/>
      <c r="C598" s="67"/>
    </row>
    <row r="599">
      <c r="B599" s="74"/>
      <c r="C599" s="67"/>
    </row>
    <row r="600">
      <c r="B600" s="74"/>
      <c r="C600" s="67"/>
    </row>
    <row r="601">
      <c r="B601" s="74"/>
      <c r="C601" s="67"/>
    </row>
    <row r="602">
      <c r="B602" s="74"/>
      <c r="C602" s="67"/>
    </row>
    <row r="603">
      <c r="B603" s="74"/>
      <c r="C603" s="67"/>
    </row>
    <row r="604">
      <c r="B604" s="74"/>
      <c r="C604" s="67"/>
    </row>
    <row r="605">
      <c r="B605" s="74"/>
      <c r="C605" s="67"/>
    </row>
    <row r="606">
      <c r="B606" s="74"/>
      <c r="C606" s="67"/>
    </row>
    <row r="607">
      <c r="B607" s="74"/>
      <c r="C607" s="67"/>
    </row>
    <row r="608">
      <c r="B608" s="74"/>
      <c r="C608" s="67"/>
    </row>
    <row r="609">
      <c r="B609" s="74"/>
      <c r="C609" s="67"/>
    </row>
    <row r="610">
      <c r="B610" s="74"/>
      <c r="C610" s="67"/>
    </row>
    <row r="611">
      <c r="B611" s="74"/>
      <c r="C611" s="67"/>
    </row>
    <row r="612">
      <c r="B612" s="74"/>
      <c r="C612" s="67"/>
    </row>
    <row r="613">
      <c r="B613" s="74"/>
      <c r="C613" s="67"/>
    </row>
    <row r="614">
      <c r="B614" s="74"/>
      <c r="C614" s="67"/>
    </row>
    <row r="615">
      <c r="B615" s="74"/>
      <c r="C615" s="67"/>
    </row>
    <row r="616">
      <c r="B616" s="74"/>
      <c r="C616" s="67"/>
    </row>
    <row r="617">
      <c r="B617" s="74"/>
      <c r="C617" s="67"/>
    </row>
    <row r="618">
      <c r="B618" s="74"/>
      <c r="C618" s="67"/>
    </row>
    <row r="619">
      <c r="B619" s="74"/>
      <c r="C619" s="67"/>
    </row>
    <row r="620">
      <c r="B620" s="74"/>
      <c r="C620" s="67"/>
    </row>
    <row r="621">
      <c r="B621" s="74"/>
      <c r="C621" s="67"/>
    </row>
    <row r="622">
      <c r="B622" s="74"/>
      <c r="C622" s="67"/>
    </row>
    <row r="623">
      <c r="B623" s="74"/>
      <c r="C623" s="67"/>
    </row>
    <row r="624">
      <c r="B624" s="74"/>
      <c r="C624" s="67"/>
    </row>
    <row r="625">
      <c r="B625" s="74"/>
      <c r="C625" s="67"/>
    </row>
    <row r="626">
      <c r="B626" s="74"/>
      <c r="C626" s="67"/>
    </row>
    <row r="627">
      <c r="B627" s="74"/>
      <c r="C627" s="67"/>
    </row>
    <row r="628">
      <c r="B628" s="74"/>
      <c r="C628" s="67"/>
    </row>
    <row r="629">
      <c r="B629" s="74"/>
      <c r="C629" s="67"/>
    </row>
    <row r="630">
      <c r="B630" s="74"/>
      <c r="C630" s="67"/>
    </row>
    <row r="631">
      <c r="B631" s="74"/>
      <c r="C631" s="67"/>
    </row>
    <row r="632">
      <c r="B632" s="74"/>
      <c r="C632" s="67"/>
    </row>
    <row r="633">
      <c r="B633" s="74"/>
      <c r="C633" s="67"/>
    </row>
    <row r="634">
      <c r="B634" s="74"/>
      <c r="C634" s="67"/>
    </row>
    <row r="635">
      <c r="B635" s="74"/>
      <c r="C635" s="67"/>
    </row>
    <row r="636">
      <c r="B636" s="74"/>
      <c r="C636" s="67"/>
    </row>
    <row r="637">
      <c r="B637" s="74"/>
      <c r="C637" s="67"/>
    </row>
    <row r="638">
      <c r="B638" s="74"/>
      <c r="C638" s="67"/>
    </row>
    <row r="639">
      <c r="B639" s="74"/>
      <c r="C639" s="67"/>
    </row>
    <row r="640">
      <c r="B640" s="74"/>
      <c r="C640" s="67"/>
    </row>
    <row r="641">
      <c r="B641" s="74"/>
      <c r="C641" s="67"/>
    </row>
    <row r="642">
      <c r="B642" s="74"/>
      <c r="C642" s="67"/>
    </row>
    <row r="643">
      <c r="B643" s="74"/>
      <c r="C643" s="67"/>
    </row>
    <row r="644">
      <c r="B644" s="74"/>
      <c r="C644" s="67"/>
    </row>
    <row r="645">
      <c r="B645" s="74"/>
      <c r="C645" s="67"/>
    </row>
    <row r="646">
      <c r="B646" s="74"/>
      <c r="C646" s="67"/>
    </row>
    <row r="647">
      <c r="B647" s="74"/>
      <c r="C647" s="67"/>
    </row>
    <row r="648">
      <c r="B648" s="74"/>
      <c r="C648" s="67"/>
    </row>
    <row r="649">
      <c r="B649" s="74"/>
      <c r="C649" s="67"/>
    </row>
    <row r="650">
      <c r="B650" s="74"/>
      <c r="C650" s="67"/>
    </row>
    <row r="651">
      <c r="B651" s="74"/>
      <c r="C651" s="67"/>
    </row>
    <row r="652">
      <c r="B652" s="74"/>
      <c r="C652" s="67"/>
    </row>
    <row r="653">
      <c r="B653" s="74"/>
      <c r="C653" s="67"/>
    </row>
    <row r="654">
      <c r="B654" s="74"/>
      <c r="C654" s="67"/>
    </row>
    <row r="655">
      <c r="B655" s="74"/>
      <c r="C655" s="67"/>
    </row>
    <row r="656">
      <c r="B656" s="74"/>
      <c r="C656" s="67"/>
    </row>
    <row r="657">
      <c r="B657" s="74"/>
      <c r="C657" s="67"/>
    </row>
    <row r="658">
      <c r="B658" s="74"/>
      <c r="C658" s="67"/>
    </row>
    <row r="659">
      <c r="B659" s="74"/>
      <c r="C659" s="67"/>
    </row>
    <row r="660">
      <c r="B660" s="74"/>
      <c r="C660" s="67"/>
    </row>
    <row r="661">
      <c r="B661" s="74"/>
      <c r="C661" s="67"/>
    </row>
    <row r="662">
      <c r="B662" s="74"/>
      <c r="C662" s="67"/>
    </row>
    <row r="663">
      <c r="B663" s="74"/>
      <c r="C663" s="67"/>
    </row>
    <row r="664">
      <c r="B664" s="74"/>
      <c r="C664" s="67"/>
    </row>
    <row r="665">
      <c r="B665" s="74"/>
      <c r="C665" s="67"/>
    </row>
    <row r="666">
      <c r="B666" s="74"/>
      <c r="C666" s="67"/>
    </row>
    <row r="667">
      <c r="B667" s="74"/>
      <c r="C667" s="67"/>
    </row>
    <row r="668">
      <c r="B668" s="74"/>
      <c r="C668" s="67"/>
    </row>
    <row r="669">
      <c r="B669" s="74"/>
      <c r="C669" s="67"/>
    </row>
    <row r="670">
      <c r="B670" s="74"/>
      <c r="C670" s="67"/>
    </row>
    <row r="671">
      <c r="B671" s="74"/>
      <c r="C671" s="67"/>
    </row>
    <row r="672">
      <c r="B672" s="74"/>
      <c r="C672" s="67"/>
    </row>
    <row r="673">
      <c r="B673" s="74"/>
      <c r="C673" s="67"/>
    </row>
    <row r="674">
      <c r="B674" s="74"/>
      <c r="C674" s="67"/>
    </row>
    <row r="675">
      <c r="B675" s="74"/>
      <c r="C675" s="67"/>
    </row>
    <row r="676">
      <c r="B676" s="74"/>
      <c r="C676" s="67"/>
    </row>
    <row r="677">
      <c r="B677" s="74"/>
      <c r="C677" s="67"/>
    </row>
    <row r="678">
      <c r="B678" s="74"/>
      <c r="C678" s="67"/>
    </row>
    <row r="679">
      <c r="B679" s="74"/>
      <c r="C679" s="67"/>
    </row>
    <row r="680">
      <c r="B680" s="74"/>
      <c r="C680" s="67"/>
    </row>
    <row r="681">
      <c r="B681" s="74"/>
      <c r="C681" s="67"/>
    </row>
    <row r="682">
      <c r="B682" s="74"/>
      <c r="C682" s="67"/>
    </row>
    <row r="683">
      <c r="B683" s="74"/>
      <c r="C683" s="67"/>
    </row>
    <row r="684">
      <c r="B684" s="74"/>
      <c r="C684" s="67"/>
    </row>
    <row r="685">
      <c r="B685" s="74"/>
      <c r="C685" s="67"/>
    </row>
    <row r="686">
      <c r="B686" s="74"/>
      <c r="C686" s="67"/>
    </row>
    <row r="687">
      <c r="B687" s="74"/>
      <c r="C687" s="67"/>
    </row>
    <row r="688">
      <c r="B688" s="74"/>
      <c r="C688" s="67"/>
    </row>
    <row r="689">
      <c r="B689" s="74"/>
      <c r="C689" s="67"/>
    </row>
    <row r="690">
      <c r="B690" s="74"/>
      <c r="C690" s="67"/>
    </row>
    <row r="691">
      <c r="B691" s="74"/>
      <c r="C691" s="67"/>
    </row>
    <row r="692">
      <c r="B692" s="74"/>
      <c r="C692" s="67"/>
    </row>
    <row r="693">
      <c r="B693" s="74"/>
      <c r="C693" s="67"/>
    </row>
    <row r="694">
      <c r="B694" s="74"/>
      <c r="C694" s="67"/>
    </row>
    <row r="695">
      <c r="B695" s="74"/>
      <c r="C695" s="67"/>
    </row>
    <row r="696">
      <c r="B696" s="74"/>
      <c r="C696" s="67"/>
    </row>
    <row r="697">
      <c r="B697" s="74"/>
      <c r="C697" s="67"/>
    </row>
    <row r="698">
      <c r="B698" s="74"/>
      <c r="C698" s="67"/>
    </row>
    <row r="699">
      <c r="B699" s="74"/>
      <c r="C699" s="67"/>
    </row>
    <row r="700">
      <c r="B700" s="74"/>
      <c r="C700" s="67"/>
    </row>
    <row r="701">
      <c r="B701" s="74"/>
      <c r="C701" s="67"/>
    </row>
    <row r="702">
      <c r="B702" s="74"/>
      <c r="C702" s="67"/>
    </row>
    <row r="703">
      <c r="B703" s="74"/>
      <c r="C703" s="67"/>
    </row>
    <row r="704">
      <c r="B704" s="74"/>
      <c r="C704" s="67"/>
    </row>
    <row r="705">
      <c r="B705" s="74"/>
      <c r="C705" s="67"/>
    </row>
    <row r="706">
      <c r="B706" s="74"/>
      <c r="C706" s="67"/>
    </row>
    <row r="707">
      <c r="B707" s="74"/>
      <c r="C707" s="67"/>
    </row>
    <row r="708">
      <c r="B708" s="74"/>
      <c r="C708" s="67"/>
    </row>
    <row r="709">
      <c r="B709" s="74"/>
      <c r="C709" s="67"/>
    </row>
    <row r="710">
      <c r="B710" s="74"/>
      <c r="C710" s="67"/>
    </row>
    <row r="711">
      <c r="B711" s="74"/>
      <c r="C711" s="67"/>
    </row>
    <row r="712">
      <c r="B712" s="74"/>
      <c r="C712" s="67"/>
    </row>
    <row r="713">
      <c r="B713" s="74"/>
      <c r="C713" s="67"/>
    </row>
    <row r="714">
      <c r="B714" s="74"/>
      <c r="C714" s="67"/>
    </row>
    <row r="715">
      <c r="B715" s="74"/>
      <c r="C715" s="67"/>
    </row>
    <row r="716">
      <c r="B716" s="74"/>
      <c r="C716" s="67"/>
    </row>
    <row r="717">
      <c r="B717" s="74"/>
      <c r="C717" s="67"/>
    </row>
    <row r="718">
      <c r="B718" s="74"/>
      <c r="C718" s="67"/>
    </row>
    <row r="719">
      <c r="B719" s="74"/>
      <c r="C719" s="67"/>
    </row>
    <row r="720">
      <c r="B720" s="74"/>
      <c r="C720" s="67"/>
    </row>
    <row r="721">
      <c r="B721" s="74"/>
      <c r="C721" s="67"/>
    </row>
    <row r="722">
      <c r="B722" s="74"/>
      <c r="C722" s="67"/>
    </row>
    <row r="723">
      <c r="B723" s="74"/>
      <c r="C723" s="67"/>
    </row>
    <row r="724">
      <c r="B724" s="74"/>
      <c r="C724" s="67"/>
    </row>
    <row r="725">
      <c r="B725" s="74"/>
      <c r="C725" s="67"/>
    </row>
    <row r="726">
      <c r="B726" s="74"/>
      <c r="C726" s="67"/>
    </row>
    <row r="727">
      <c r="B727" s="74"/>
      <c r="C727" s="67"/>
    </row>
    <row r="728">
      <c r="B728" s="74"/>
      <c r="C728" s="67"/>
    </row>
    <row r="729">
      <c r="B729" s="74"/>
      <c r="C729" s="67"/>
    </row>
    <row r="730">
      <c r="B730" s="74"/>
      <c r="C730" s="67"/>
    </row>
    <row r="731">
      <c r="B731" s="74"/>
      <c r="C731" s="67"/>
    </row>
    <row r="732">
      <c r="B732" s="74"/>
      <c r="C732" s="67"/>
    </row>
    <row r="733">
      <c r="B733" s="74"/>
      <c r="C733" s="67"/>
    </row>
    <row r="734">
      <c r="B734" s="74"/>
      <c r="C734" s="67"/>
    </row>
    <row r="735">
      <c r="B735" s="74"/>
      <c r="C735" s="67"/>
    </row>
    <row r="736">
      <c r="B736" s="74"/>
      <c r="C736" s="67"/>
    </row>
    <row r="737">
      <c r="B737" s="74"/>
      <c r="C737" s="67"/>
    </row>
    <row r="738">
      <c r="B738" s="74"/>
      <c r="C738" s="67"/>
    </row>
    <row r="739">
      <c r="B739" s="74"/>
      <c r="C739" s="67"/>
    </row>
    <row r="740">
      <c r="B740" s="74"/>
      <c r="C740" s="67"/>
    </row>
    <row r="741">
      <c r="B741" s="74"/>
      <c r="C741" s="67"/>
    </row>
    <row r="742">
      <c r="B742" s="74"/>
      <c r="C742" s="67"/>
    </row>
    <row r="743">
      <c r="B743" s="74"/>
      <c r="C743" s="67"/>
    </row>
    <row r="744">
      <c r="B744" s="74"/>
      <c r="C744" s="67"/>
    </row>
    <row r="745">
      <c r="B745" s="74"/>
      <c r="C745" s="67"/>
    </row>
    <row r="746">
      <c r="B746" s="74"/>
      <c r="C746" s="67"/>
    </row>
    <row r="747">
      <c r="B747" s="74"/>
      <c r="C747" s="67"/>
    </row>
    <row r="748">
      <c r="B748" s="74"/>
      <c r="C748" s="67"/>
    </row>
    <row r="749">
      <c r="B749" s="74"/>
      <c r="C749" s="67"/>
    </row>
    <row r="750">
      <c r="B750" s="74"/>
      <c r="C750" s="67"/>
    </row>
    <row r="751">
      <c r="B751" s="74"/>
      <c r="C751" s="67"/>
    </row>
    <row r="752">
      <c r="B752" s="74"/>
      <c r="C752" s="67"/>
    </row>
    <row r="753">
      <c r="B753" s="74"/>
      <c r="C753" s="67"/>
    </row>
    <row r="754">
      <c r="B754" s="74"/>
      <c r="C754" s="67"/>
    </row>
    <row r="755">
      <c r="B755" s="74"/>
      <c r="C755" s="67"/>
    </row>
    <row r="756">
      <c r="B756" s="74"/>
      <c r="C756" s="67"/>
    </row>
    <row r="757">
      <c r="B757" s="74"/>
      <c r="C757" s="67"/>
    </row>
    <row r="758">
      <c r="B758" s="74"/>
      <c r="C758" s="67"/>
    </row>
    <row r="759">
      <c r="B759" s="74"/>
      <c r="C759" s="67"/>
    </row>
    <row r="760">
      <c r="B760" s="74"/>
      <c r="C760" s="67"/>
    </row>
    <row r="761">
      <c r="B761" s="74"/>
      <c r="C761" s="67"/>
    </row>
    <row r="762">
      <c r="B762" s="74"/>
      <c r="C762" s="67"/>
    </row>
    <row r="763">
      <c r="B763" s="74"/>
      <c r="C763" s="67"/>
    </row>
    <row r="764">
      <c r="B764" s="74"/>
      <c r="C764" s="67"/>
    </row>
    <row r="765">
      <c r="B765" s="74"/>
      <c r="C765" s="67"/>
    </row>
    <row r="766">
      <c r="B766" s="74"/>
      <c r="C766" s="67"/>
    </row>
    <row r="767">
      <c r="B767" s="74"/>
      <c r="C767" s="67"/>
    </row>
    <row r="768">
      <c r="B768" s="74"/>
      <c r="C768" s="67"/>
    </row>
    <row r="769">
      <c r="B769" s="74"/>
      <c r="C769" s="67"/>
    </row>
    <row r="770">
      <c r="B770" s="74"/>
      <c r="C770" s="67"/>
    </row>
    <row r="771">
      <c r="B771" s="74"/>
      <c r="C771" s="67"/>
    </row>
    <row r="772">
      <c r="B772" s="74"/>
      <c r="C772" s="67"/>
    </row>
    <row r="773">
      <c r="B773" s="74"/>
      <c r="C773" s="67"/>
    </row>
    <row r="774">
      <c r="B774" s="74"/>
      <c r="C774" s="67"/>
    </row>
    <row r="775">
      <c r="B775" s="74"/>
      <c r="C775" s="67"/>
    </row>
    <row r="776">
      <c r="B776" s="74"/>
      <c r="C776" s="67"/>
    </row>
    <row r="777">
      <c r="B777" s="74"/>
      <c r="C777" s="67"/>
    </row>
    <row r="778">
      <c r="B778" s="74"/>
      <c r="C778" s="67"/>
    </row>
    <row r="779">
      <c r="B779" s="74"/>
      <c r="C779" s="67"/>
    </row>
    <row r="780">
      <c r="B780" s="74"/>
      <c r="C780" s="67"/>
    </row>
    <row r="781">
      <c r="B781" s="74"/>
      <c r="C781" s="67"/>
    </row>
    <row r="782">
      <c r="B782" s="74"/>
      <c r="C782" s="67"/>
    </row>
    <row r="783">
      <c r="B783" s="74"/>
      <c r="C783" s="67"/>
    </row>
    <row r="784">
      <c r="B784" s="74"/>
      <c r="C784" s="67"/>
    </row>
    <row r="785">
      <c r="B785" s="74"/>
      <c r="C785" s="67"/>
    </row>
    <row r="786">
      <c r="B786" s="74"/>
      <c r="C786" s="67"/>
    </row>
    <row r="787">
      <c r="B787" s="74"/>
      <c r="C787" s="67"/>
    </row>
    <row r="788">
      <c r="B788" s="74"/>
      <c r="C788" s="67"/>
    </row>
    <row r="789">
      <c r="B789" s="74"/>
      <c r="C789" s="67"/>
    </row>
    <row r="790">
      <c r="B790" s="74"/>
      <c r="C790" s="67"/>
    </row>
    <row r="791">
      <c r="B791" s="74"/>
      <c r="C791" s="67"/>
    </row>
    <row r="792">
      <c r="B792" s="74"/>
      <c r="C792" s="67"/>
    </row>
    <row r="793">
      <c r="B793" s="74"/>
      <c r="C793" s="67"/>
    </row>
    <row r="794">
      <c r="B794" s="74"/>
      <c r="C794" s="67"/>
    </row>
    <row r="795">
      <c r="B795" s="74"/>
      <c r="C795" s="67"/>
    </row>
    <row r="796">
      <c r="B796" s="74"/>
      <c r="C796" s="67"/>
    </row>
    <row r="797">
      <c r="B797" s="74"/>
      <c r="C797" s="67"/>
    </row>
    <row r="798">
      <c r="B798" s="74"/>
      <c r="C798" s="67"/>
    </row>
    <row r="799">
      <c r="B799" s="74"/>
      <c r="C799" s="67"/>
    </row>
    <row r="800">
      <c r="B800" s="74"/>
      <c r="C800" s="67"/>
    </row>
    <row r="801">
      <c r="B801" s="74"/>
      <c r="C801" s="67"/>
    </row>
    <row r="802">
      <c r="B802" s="74"/>
      <c r="C802" s="67"/>
    </row>
    <row r="803">
      <c r="B803" s="74"/>
      <c r="C803" s="67"/>
    </row>
    <row r="804">
      <c r="B804" s="74"/>
      <c r="C804" s="67"/>
    </row>
    <row r="805">
      <c r="B805" s="74"/>
      <c r="C805" s="67"/>
    </row>
    <row r="806">
      <c r="B806" s="74"/>
      <c r="C806" s="67"/>
    </row>
    <row r="807">
      <c r="B807" s="74"/>
      <c r="C807" s="67"/>
    </row>
    <row r="808">
      <c r="B808" s="74"/>
      <c r="C808" s="67"/>
    </row>
    <row r="809">
      <c r="B809" s="74"/>
      <c r="C809" s="67"/>
    </row>
    <row r="810">
      <c r="B810" s="74"/>
      <c r="C810" s="67"/>
    </row>
    <row r="811">
      <c r="B811" s="74"/>
      <c r="C811" s="67"/>
    </row>
    <row r="812">
      <c r="B812" s="74"/>
      <c r="C812" s="67"/>
    </row>
    <row r="813">
      <c r="B813" s="74"/>
      <c r="C813" s="67"/>
    </row>
    <row r="814">
      <c r="B814" s="74"/>
      <c r="C814" s="67"/>
    </row>
    <row r="815">
      <c r="B815" s="74"/>
      <c r="C815" s="67"/>
    </row>
    <row r="816">
      <c r="B816" s="74"/>
      <c r="C816" s="67"/>
    </row>
    <row r="817">
      <c r="B817" s="74"/>
      <c r="C817" s="67"/>
    </row>
    <row r="818">
      <c r="B818" s="74"/>
      <c r="C818" s="67"/>
    </row>
    <row r="819">
      <c r="B819" s="74"/>
      <c r="C819" s="67"/>
    </row>
    <row r="820">
      <c r="B820" s="74"/>
      <c r="C820" s="67"/>
    </row>
    <row r="821">
      <c r="B821" s="74"/>
      <c r="C821" s="67"/>
    </row>
    <row r="822">
      <c r="B822" s="74"/>
      <c r="C822" s="67"/>
    </row>
    <row r="823">
      <c r="B823" s="74"/>
      <c r="C823" s="67"/>
    </row>
    <row r="824">
      <c r="B824" s="74"/>
      <c r="C824" s="67"/>
    </row>
    <row r="825">
      <c r="B825" s="74"/>
      <c r="C825" s="67"/>
    </row>
    <row r="826">
      <c r="B826" s="74"/>
      <c r="C826" s="67"/>
    </row>
    <row r="827">
      <c r="B827" s="74"/>
      <c r="C827" s="67"/>
    </row>
    <row r="828">
      <c r="B828" s="74"/>
      <c r="C828" s="67"/>
    </row>
    <row r="829">
      <c r="B829" s="74"/>
      <c r="C829" s="67"/>
    </row>
    <row r="830">
      <c r="B830" s="74"/>
      <c r="C830" s="67"/>
    </row>
    <row r="831">
      <c r="B831" s="74"/>
      <c r="C831" s="67"/>
    </row>
    <row r="832">
      <c r="B832" s="74"/>
      <c r="C832" s="67"/>
    </row>
    <row r="833">
      <c r="B833" s="74"/>
      <c r="C833" s="67"/>
    </row>
    <row r="834">
      <c r="B834" s="74"/>
      <c r="C834" s="67"/>
    </row>
    <row r="835">
      <c r="B835" s="74"/>
      <c r="C835" s="67"/>
    </row>
    <row r="836">
      <c r="B836" s="74"/>
      <c r="C836" s="67"/>
    </row>
    <row r="837">
      <c r="B837" s="74"/>
      <c r="C837" s="67"/>
    </row>
    <row r="838">
      <c r="B838" s="74"/>
      <c r="C838" s="67"/>
    </row>
    <row r="839">
      <c r="B839" s="74"/>
      <c r="C839" s="67"/>
    </row>
    <row r="840">
      <c r="B840" s="74"/>
      <c r="C840" s="67"/>
    </row>
    <row r="841">
      <c r="B841" s="74"/>
      <c r="C841" s="67"/>
    </row>
    <row r="842">
      <c r="B842" s="74"/>
      <c r="C842" s="67"/>
    </row>
    <row r="843">
      <c r="B843" s="74"/>
      <c r="C843" s="67"/>
    </row>
    <row r="844">
      <c r="B844" s="74"/>
      <c r="C844" s="67"/>
    </row>
    <row r="845">
      <c r="B845" s="74"/>
      <c r="C845" s="67"/>
    </row>
    <row r="846">
      <c r="B846" s="74"/>
      <c r="C846" s="67"/>
    </row>
    <row r="847">
      <c r="B847" s="74"/>
      <c r="C847" s="67"/>
    </row>
    <row r="848">
      <c r="B848" s="74"/>
      <c r="C848" s="67"/>
    </row>
    <row r="849">
      <c r="B849" s="74"/>
      <c r="C849" s="67"/>
    </row>
    <row r="850">
      <c r="B850" s="74"/>
      <c r="C850" s="67"/>
    </row>
    <row r="851">
      <c r="B851" s="74"/>
      <c r="C851" s="67"/>
    </row>
    <row r="852">
      <c r="B852" s="74"/>
      <c r="C852" s="67"/>
    </row>
    <row r="853">
      <c r="B853" s="74"/>
      <c r="C853" s="67"/>
    </row>
    <row r="854">
      <c r="B854" s="74"/>
      <c r="C854" s="67"/>
    </row>
    <row r="855">
      <c r="B855" s="74"/>
      <c r="C855" s="67"/>
    </row>
    <row r="856">
      <c r="B856" s="74"/>
      <c r="C856" s="67"/>
    </row>
    <row r="857">
      <c r="B857" s="74"/>
      <c r="C857" s="67"/>
    </row>
    <row r="858">
      <c r="B858" s="74"/>
      <c r="C858" s="67"/>
    </row>
    <row r="859">
      <c r="B859" s="74"/>
      <c r="C859" s="67"/>
    </row>
    <row r="860">
      <c r="B860" s="74"/>
      <c r="C860" s="67"/>
    </row>
    <row r="861">
      <c r="B861" s="74"/>
      <c r="C861" s="67"/>
    </row>
    <row r="862">
      <c r="B862" s="74"/>
      <c r="C862" s="67"/>
    </row>
    <row r="863">
      <c r="B863" s="74"/>
      <c r="C863" s="67"/>
    </row>
    <row r="864">
      <c r="B864" s="74"/>
      <c r="C864" s="67"/>
    </row>
    <row r="865">
      <c r="B865" s="74"/>
      <c r="C865" s="67"/>
    </row>
    <row r="866">
      <c r="B866" s="74"/>
      <c r="C866" s="67"/>
    </row>
    <row r="867">
      <c r="B867" s="74"/>
      <c r="C867" s="67"/>
    </row>
    <row r="868">
      <c r="B868" s="74"/>
      <c r="C868" s="67"/>
    </row>
    <row r="869">
      <c r="B869" s="74"/>
      <c r="C869" s="67"/>
    </row>
    <row r="870">
      <c r="B870" s="74"/>
      <c r="C870" s="67"/>
    </row>
    <row r="871">
      <c r="B871" s="74"/>
      <c r="C871" s="67"/>
    </row>
    <row r="872">
      <c r="B872" s="74"/>
      <c r="C872" s="67"/>
    </row>
    <row r="873">
      <c r="B873" s="74"/>
      <c r="C873" s="67"/>
    </row>
    <row r="874">
      <c r="B874" s="74"/>
      <c r="C874" s="67"/>
    </row>
    <row r="875">
      <c r="B875" s="74"/>
      <c r="C875" s="67"/>
    </row>
    <row r="876">
      <c r="B876" s="74"/>
      <c r="C876" s="67"/>
    </row>
    <row r="877">
      <c r="B877" s="74"/>
      <c r="C877" s="67"/>
    </row>
    <row r="878">
      <c r="B878" s="74"/>
      <c r="C878" s="67"/>
    </row>
    <row r="879">
      <c r="B879" s="74"/>
      <c r="C879" s="67"/>
    </row>
    <row r="880">
      <c r="B880" s="74"/>
      <c r="C880" s="67"/>
    </row>
    <row r="881">
      <c r="B881" s="74"/>
      <c r="C881" s="67"/>
    </row>
    <row r="882">
      <c r="B882" s="74"/>
      <c r="C882" s="67"/>
    </row>
    <row r="883">
      <c r="B883" s="74"/>
      <c r="C883" s="67"/>
    </row>
    <row r="884">
      <c r="B884" s="74"/>
      <c r="C884" s="67"/>
    </row>
    <row r="885">
      <c r="B885" s="74"/>
      <c r="C885" s="67"/>
    </row>
    <row r="886">
      <c r="B886" s="74"/>
      <c r="C886" s="67"/>
    </row>
    <row r="887">
      <c r="B887" s="74"/>
      <c r="C887" s="67"/>
    </row>
    <row r="888">
      <c r="B888" s="74"/>
      <c r="C888" s="67"/>
    </row>
    <row r="889">
      <c r="B889" s="74"/>
      <c r="C889" s="67"/>
    </row>
    <row r="890">
      <c r="B890" s="74"/>
      <c r="C890" s="67"/>
    </row>
    <row r="891">
      <c r="B891" s="74"/>
      <c r="C891" s="67"/>
    </row>
    <row r="892">
      <c r="B892" s="74"/>
      <c r="C892" s="67"/>
    </row>
    <row r="893">
      <c r="B893" s="74"/>
      <c r="C893" s="67"/>
    </row>
    <row r="894">
      <c r="B894" s="74"/>
      <c r="C894" s="67"/>
    </row>
    <row r="895">
      <c r="B895" s="74"/>
      <c r="C895" s="67"/>
    </row>
    <row r="896">
      <c r="B896" s="74"/>
      <c r="C896" s="67"/>
    </row>
    <row r="897">
      <c r="B897" s="74"/>
      <c r="C897" s="67"/>
    </row>
    <row r="898">
      <c r="B898" s="74"/>
      <c r="C898" s="67"/>
    </row>
    <row r="899">
      <c r="B899" s="74"/>
      <c r="C899" s="67"/>
    </row>
    <row r="900">
      <c r="B900" s="74"/>
      <c r="C900" s="67"/>
    </row>
    <row r="901">
      <c r="B901" s="74"/>
      <c r="C901" s="67"/>
    </row>
    <row r="902">
      <c r="B902" s="74"/>
      <c r="C902" s="67"/>
    </row>
    <row r="903">
      <c r="B903" s="74"/>
      <c r="C903" s="67"/>
    </row>
    <row r="904">
      <c r="B904" s="74"/>
      <c r="C904" s="67"/>
    </row>
    <row r="905">
      <c r="B905" s="74"/>
      <c r="C905" s="67"/>
    </row>
    <row r="906">
      <c r="B906" s="74"/>
      <c r="C906" s="67"/>
    </row>
    <row r="907">
      <c r="B907" s="74"/>
      <c r="C907" s="67"/>
    </row>
    <row r="908">
      <c r="B908" s="74"/>
      <c r="C908" s="67"/>
    </row>
    <row r="909">
      <c r="B909" s="74"/>
      <c r="C909" s="67"/>
    </row>
    <row r="910">
      <c r="B910" s="74"/>
      <c r="C910" s="67"/>
    </row>
    <row r="911">
      <c r="B911" s="74"/>
      <c r="C911" s="67"/>
    </row>
    <row r="912">
      <c r="B912" s="74"/>
      <c r="C912" s="67"/>
    </row>
    <row r="913">
      <c r="B913" s="74"/>
      <c r="C913" s="67"/>
    </row>
    <row r="914">
      <c r="B914" s="74"/>
      <c r="C914" s="67"/>
    </row>
    <row r="915">
      <c r="B915" s="74"/>
      <c r="C915" s="67"/>
    </row>
    <row r="916">
      <c r="B916" s="74"/>
      <c r="C916" s="67"/>
    </row>
    <row r="917">
      <c r="B917" s="74"/>
      <c r="C917" s="67"/>
    </row>
    <row r="918">
      <c r="B918" s="74"/>
      <c r="C918" s="67"/>
    </row>
    <row r="919">
      <c r="B919" s="74"/>
      <c r="C919" s="67"/>
    </row>
    <row r="920">
      <c r="B920" s="74"/>
      <c r="C920" s="67"/>
    </row>
    <row r="921">
      <c r="B921" s="74"/>
      <c r="C921" s="67"/>
    </row>
    <row r="922">
      <c r="B922" s="74"/>
      <c r="C922" s="67"/>
    </row>
    <row r="923">
      <c r="B923" s="74"/>
      <c r="C923" s="67"/>
    </row>
    <row r="924">
      <c r="B924" s="74"/>
      <c r="C924" s="67"/>
    </row>
    <row r="925">
      <c r="B925" s="74"/>
      <c r="C925" s="67"/>
    </row>
    <row r="926">
      <c r="B926" s="74"/>
      <c r="C926" s="67"/>
    </row>
    <row r="927">
      <c r="B927" s="74"/>
      <c r="C927" s="67"/>
    </row>
    <row r="928">
      <c r="B928" s="74"/>
      <c r="C928" s="67"/>
    </row>
    <row r="929">
      <c r="B929" s="74"/>
      <c r="C929" s="67"/>
    </row>
    <row r="930">
      <c r="B930" s="74"/>
      <c r="C930" s="67"/>
    </row>
    <row r="931">
      <c r="B931" s="74"/>
      <c r="C931" s="67"/>
    </row>
    <row r="932">
      <c r="B932" s="74"/>
      <c r="C932" s="67"/>
    </row>
    <row r="933">
      <c r="B933" s="74"/>
      <c r="C933" s="67"/>
    </row>
    <row r="934">
      <c r="B934" s="74"/>
      <c r="C934" s="67"/>
    </row>
    <row r="935">
      <c r="B935" s="74"/>
      <c r="C935" s="67"/>
    </row>
    <row r="936">
      <c r="B936" s="74"/>
      <c r="C936" s="67"/>
    </row>
    <row r="937">
      <c r="B937" s="74"/>
      <c r="C937" s="67"/>
    </row>
    <row r="938">
      <c r="B938" s="74"/>
      <c r="C938" s="67"/>
    </row>
    <row r="939">
      <c r="B939" s="74"/>
      <c r="C939" s="67"/>
    </row>
    <row r="940">
      <c r="B940" s="74"/>
      <c r="C940" s="67"/>
    </row>
    <row r="941">
      <c r="B941" s="74"/>
      <c r="C941" s="67"/>
    </row>
    <row r="942">
      <c r="B942" s="74"/>
      <c r="C942" s="67"/>
    </row>
    <row r="943">
      <c r="B943" s="74"/>
      <c r="C943" s="67"/>
    </row>
    <row r="944">
      <c r="B944" s="74"/>
      <c r="C944" s="67"/>
    </row>
    <row r="945">
      <c r="B945" s="74"/>
      <c r="C945" s="67"/>
    </row>
    <row r="946">
      <c r="B946" s="74"/>
      <c r="C946" s="67"/>
    </row>
    <row r="947">
      <c r="B947" s="74"/>
      <c r="C947" s="67"/>
    </row>
    <row r="948">
      <c r="B948" s="74"/>
      <c r="C948" s="67"/>
    </row>
    <row r="949">
      <c r="B949" s="74"/>
      <c r="C949" s="67"/>
    </row>
    <row r="950">
      <c r="B950" s="74"/>
      <c r="C950" s="67"/>
    </row>
    <row r="951">
      <c r="B951" s="74"/>
      <c r="C951" s="67"/>
    </row>
    <row r="952">
      <c r="B952" s="74"/>
      <c r="C952" s="67"/>
    </row>
    <row r="953">
      <c r="B953" s="74"/>
      <c r="C953" s="67"/>
    </row>
    <row r="954">
      <c r="B954" s="74"/>
      <c r="C954" s="67"/>
    </row>
    <row r="955">
      <c r="B955" s="74"/>
      <c r="C955" s="67"/>
    </row>
    <row r="956">
      <c r="B956" s="74"/>
      <c r="C956" s="67"/>
    </row>
    <row r="957">
      <c r="B957" s="74"/>
      <c r="C957" s="67"/>
    </row>
    <row r="958">
      <c r="B958" s="74"/>
      <c r="C958" s="67"/>
    </row>
    <row r="959">
      <c r="B959" s="74"/>
      <c r="C959" s="67"/>
    </row>
    <row r="960">
      <c r="B960" s="74"/>
      <c r="C960" s="67"/>
    </row>
    <row r="961">
      <c r="B961" s="74"/>
      <c r="C961" s="67"/>
    </row>
    <row r="962">
      <c r="B962" s="74"/>
      <c r="C962" s="67"/>
    </row>
    <row r="963">
      <c r="B963" s="74"/>
      <c r="C963" s="67"/>
    </row>
    <row r="964">
      <c r="B964" s="74"/>
      <c r="C964" s="67"/>
    </row>
    <row r="965">
      <c r="B965" s="74"/>
      <c r="C965" s="67"/>
    </row>
    <row r="966">
      <c r="B966" s="74"/>
      <c r="C966" s="67"/>
    </row>
    <row r="967">
      <c r="B967" s="74"/>
      <c r="C967" s="67"/>
    </row>
    <row r="968">
      <c r="B968" s="74"/>
      <c r="C968" s="67"/>
    </row>
    <row r="969">
      <c r="B969" s="74"/>
      <c r="C969" s="67"/>
    </row>
    <row r="970">
      <c r="B970" s="74"/>
      <c r="C970" s="67"/>
    </row>
    <row r="971">
      <c r="B971" s="74"/>
      <c r="C971" s="67"/>
    </row>
    <row r="972">
      <c r="B972" s="74"/>
      <c r="C972" s="67"/>
    </row>
    <row r="973">
      <c r="B973" s="74"/>
      <c r="C973" s="67"/>
    </row>
    <row r="974">
      <c r="B974" s="74"/>
      <c r="C974" s="67"/>
    </row>
    <row r="975">
      <c r="B975" s="74"/>
      <c r="C975" s="67"/>
    </row>
    <row r="976">
      <c r="B976" s="74"/>
      <c r="C976" s="67"/>
    </row>
    <row r="977">
      <c r="B977" s="74"/>
      <c r="C977" s="67"/>
    </row>
    <row r="978">
      <c r="B978" s="74"/>
      <c r="C978" s="67"/>
    </row>
    <row r="979">
      <c r="B979" s="74"/>
      <c r="C979" s="67"/>
    </row>
    <row r="980">
      <c r="B980" s="74"/>
      <c r="C980" s="67"/>
    </row>
    <row r="981">
      <c r="B981" s="74"/>
      <c r="C981" s="67"/>
    </row>
    <row r="982">
      <c r="B982" s="74"/>
      <c r="C982" s="67"/>
    </row>
    <row r="983">
      <c r="B983" s="74"/>
      <c r="C983" s="67"/>
    </row>
    <row r="984">
      <c r="B984" s="74"/>
      <c r="C984" s="67"/>
    </row>
    <row r="985">
      <c r="B985" s="74"/>
      <c r="C985" s="67"/>
    </row>
    <row r="986">
      <c r="B986" s="74"/>
      <c r="C986" s="67"/>
    </row>
    <row r="987">
      <c r="B987" s="74"/>
      <c r="C987" s="67"/>
    </row>
    <row r="988">
      <c r="B988" s="74"/>
      <c r="C988" s="67"/>
    </row>
    <row r="989">
      <c r="B989" s="74"/>
      <c r="C989" s="67"/>
    </row>
    <row r="990">
      <c r="B990" s="74"/>
      <c r="C990" s="67"/>
    </row>
    <row r="991">
      <c r="B991" s="74"/>
      <c r="C991" s="67"/>
    </row>
    <row r="992">
      <c r="B992" s="74"/>
      <c r="C992" s="67"/>
    </row>
    <row r="993">
      <c r="B993" s="74"/>
      <c r="C993" s="67"/>
    </row>
    <row r="994">
      <c r="B994" s="74"/>
      <c r="C994" s="67"/>
    </row>
    <row r="995">
      <c r="B995" s="74"/>
      <c r="C995" s="67"/>
    </row>
    <row r="996">
      <c r="B996" s="74"/>
      <c r="C996" s="67"/>
    </row>
    <row r="997">
      <c r="B997" s="74"/>
      <c r="C997" s="67"/>
    </row>
    <row r="998">
      <c r="B998" s="74"/>
      <c r="C998" s="67"/>
    </row>
    <row r="999">
      <c r="B999" s="74"/>
      <c r="C999" s="67"/>
    </row>
    <row r="1000">
      <c r="B1000" s="74"/>
      <c r="C1000" s="67"/>
    </row>
  </sheetData>
  <dataValidations>
    <dataValidation type="custom" allowBlank="1" showDropDown="1" sqref="D2:D6">
      <formula1>OR(TIMEVALUE(TEXT(D2, "hh:mm:ss"))=D2, AND(ISNUMBER(D2), LEFT(CELL("format", D2))="D"))</formula1>
    </dataValidation>
    <dataValidation type="custom" allowBlank="1" showDropDown="1" sqref="C2:C6">
      <formula1>OR(NOT(ISERROR(DATEVALUE(C2))), AND(ISNUMBER(C2), LEFT(CELL("format", C2))="D"))</formula1>
    </dataValidation>
    <dataValidation type="custom" allowBlank="1" showDropDown="1" sqref="L2:O6">
      <formula1>AND(ISNUMBER(L2),(NOT(OR(NOT(ISERROR(DATEVALUE(L2))), AND(ISNUMBER(L2), LEFT(CELL("format", L2))="D")))))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</hyperlinks>
  <drawing r:id="rId10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</row>
    <row r="2" ht="22.5" customHeight="1">
      <c r="A2" s="6" t="s">
        <v>19</v>
      </c>
      <c r="B2" s="9" t="s">
        <v>23</v>
      </c>
      <c r="C2" s="10">
        <v>46237.0</v>
      </c>
      <c r="D2" s="12">
        <v>0.3333333333333333</v>
      </c>
      <c r="E2" s="14" t="s">
        <v>30</v>
      </c>
      <c r="F2" s="15" t="s">
        <v>31</v>
      </c>
      <c r="G2" s="14" t="s">
        <v>34</v>
      </c>
      <c r="H2" s="16">
        <v>232.0</v>
      </c>
      <c r="I2" s="16">
        <v>111.0</v>
      </c>
      <c r="J2" s="16">
        <v>0.0</v>
      </c>
      <c r="K2" s="16">
        <v>0.0</v>
      </c>
      <c r="L2" s="16">
        <v>27.0</v>
      </c>
      <c r="M2" s="16">
        <v>14.0</v>
      </c>
      <c r="N2" s="16">
        <f t="shared" ref="N2:N9" si="1">SUM(L2+K2+M2)</f>
        <v>41</v>
      </c>
      <c r="O2" s="20">
        <v>0.1743</v>
      </c>
      <c r="P2" s="21"/>
      <c r="Q2" s="16">
        <v>0.0</v>
      </c>
      <c r="R2" s="23"/>
    </row>
    <row r="3" ht="22.5" customHeight="1">
      <c r="A3" s="6" t="s">
        <v>19</v>
      </c>
      <c r="B3" s="26" t="s">
        <v>39</v>
      </c>
      <c r="C3" s="27">
        <v>46238.0</v>
      </c>
      <c r="D3" s="29">
        <v>0.3333333333333333</v>
      </c>
      <c r="E3" s="31" t="s">
        <v>30</v>
      </c>
      <c r="F3" s="32" t="s">
        <v>33</v>
      </c>
      <c r="G3" s="31" t="s">
        <v>34</v>
      </c>
      <c r="H3" s="34">
        <v>109.0</v>
      </c>
      <c r="I3" s="34">
        <v>59.0</v>
      </c>
      <c r="J3" s="34">
        <v>0.0</v>
      </c>
      <c r="K3" s="34">
        <v>1.0</v>
      </c>
      <c r="L3" s="34">
        <v>10.0</v>
      </c>
      <c r="M3" s="34">
        <v>7.0</v>
      </c>
      <c r="N3" s="34">
        <f t="shared" si="1"/>
        <v>18</v>
      </c>
      <c r="O3" s="39">
        <v>0.1651</v>
      </c>
      <c r="P3" s="40"/>
      <c r="Q3" s="34">
        <v>0.0</v>
      </c>
      <c r="R3" s="41"/>
    </row>
    <row r="4" ht="22.5" customHeight="1">
      <c r="A4" s="6" t="s">
        <v>19</v>
      </c>
      <c r="B4" s="9" t="s">
        <v>51</v>
      </c>
      <c r="C4" s="10">
        <v>46240.0</v>
      </c>
      <c r="D4" s="12">
        <v>0.3333333333333333</v>
      </c>
      <c r="E4" s="14" t="s">
        <v>32</v>
      </c>
      <c r="F4" s="14" t="s">
        <v>36</v>
      </c>
      <c r="G4" s="14" t="s">
        <v>34</v>
      </c>
      <c r="H4" s="16">
        <v>146.0</v>
      </c>
      <c r="I4" s="16">
        <v>80.0</v>
      </c>
      <c r="J4" s="16">
        <v>0.0</v>
      </c>
      <c r="K4" s="16">
        <v>2.0</v>
      </c>
      <c r="L4" s="16">
        <v>21.0</v>
      </c>
      <c r="M4" s="16">
        <v>15.0</v>
      </c>
      <c r="N4" s="16">
        <f t="shared" si="1"/>
        <v>38</v>
      </c>
      <c r="O4" s="20">
        <v>0.1507</v>
      </c>
      <c r="P4" s="21"/>
      <c r="Q4" s="16">
        <v>0.0</v>
      </c>
      <c r="R4" s="23"/>
    </row>
    <row r="5" ht="22.5" customHeight="1">
      <c r="A5" s="6" t="s">
        <v>19</v>
      </c>
      <c r="B5" s="26" t="s">
        <v>56</v>
      </c>
      <c r="C5" s="27">
        <v>46241.0</v>
      </c>
      <c r="D5" s="29">
        <v>0.3333333333333333</v>
      </c>
      <c r="E5" s="31" t="s">
        <v>30</v>
      </c>
      <c r="F5" s="31" t="s">
        <v>58</v>
      </c>
      <c r="G5" s="31" t="s">
        <v>34</v>
      </c>
      <c r="H5" s="34">
        <v>163.0</v>
      </c>
      <c r="I5" s="34">
        <v>78.0</v>
      </c>
      <c r="J5" s="34">
        <v>0.0</v>
      </c>
      <c r="K5" s="34">
        <v>1.0</v>
      </c>
      <c r="L5" s="34">
        <v>12.0</v>
      </c>
      <c r="M5" s="34">
        <v>9.0</v>
      </c>
      <c r="N5" s="34">
        <f t="shared" si="1"/>
        <v>22</v>
      </c>
      <c r="O5" s="39">
        <v>0.135</v>
      </c>
      <c r="P5" s="40"/>
      <c r="Q5" s="34">
        <v>0.0</v>
      </c>
      <c r="R5" s="41"/>
    </row>
    <row r="6" ht="22.5" customHeight="1">
      <c r="A6" s="6" t="s">
        <v>19</v>
      </c>
      <c r="B6" s="9" t="s">
        <v>60</v>
      </c>
      <c r="C6" s="10">
        <v>46244.0</v>
      </c>
      <c r="D6" s="12">
        <v>0.3333333333333333</v>
      </c>
      <c r="E6" s="14" t="s">
        <v>30</v>
      </c>
      <c r="F6" s="15" t="s">
        <v>63</v>
      </c>
      <c r="G6" s="14" t="s">
        <v>34</v>
      </c>
      <c r="H6" s="16">
        <v>176.0</v>
      </c>
      <c r="I6" s="16">
        <v>77.0</v>
      </c>
      <c r="J6" s="16">
        <v>0.0</v>
      </c>
      <c r="K6" s="16">
        <v>1.0</v>
      </c>
      <c r="L6" s="16">
        <v>24.0</v>
      </c>
      <c r="M6" s="16">
        <v>32.0</v>
      </c>
      <c r="N6" s="16">
        <f t="shared" si="1"/>
        <v>57</v>
      </c>
      <c r="O6" s="20">
        <v>0.125</v>
      </c>
      <c r="P6" s="21"/>
      <c r="Q6" s="16">
        <v>0.0</v>
      </c>
      <c r="R6" s="23"/>
    </row>
    <row r="7" ht="22.5" customHeight="1">
      <c r="A7" s="6" t="s">
        <v>19</v>
      </c>
      <c r="B7" s="26" t="s">
        <v>69</v>
      </c>
      <c r="C7" s="27">
        <v>46245.0</v>
      </c>
      <c r="D7" s="29">
        <v>0.3333333333333333</v>
      </c>
      <c r="E7" s="31" t="s">
        <v>70</v>
      </c>
      <c r="F7" s="31" t="s">
        <v>71</v>
      </c>
      <c r="G7" s="31" t="s">
        <v>38</v>
      </c>
      <c r="H7" s="34">
        <v>93.0</v>
      </c>
      <c r="I7" s="34">
        <v>79.0</v>
      </c>
      <c r="J7" s="34">
        <v>0.0</v>
      </c>
      <c r="K7" s="34">
        <v>3.0</v>
      </c>
      <c r="L7" s="34">
        <v>15.0</v>
      </c>
      <c r="M7" s="34">
        <v>3.0</v>
      </c>
      <c r="N7" s="34">
        <f t="shared" si="1"/>
        <v>21</v>
      </c>
      <c r="O7" s="39">
        <v>0.1398</v>
      </c>
      <c r="P7" s="40"/>
      <c r="Q7" s="34">
        <v>0.0</v>
      </c>
      <c r="R7" s="41"/>
    </row>
    <row r="8" ht="22.5" customHeight="1">
      <c r="A8" s="6" t="s">
        <v>19</v>
      </c>
      <c r="B8" s="9" t="s">
        <v>75</v>
      </c>
      <c r="C8" s="10">
        <v>46247.0</v>
      </c>
      <c r="D8" s="12">
        <v>0.3333333333333333</v>
      </c>
      <c r="E8" s="14" t="s">
        <v>30</v>
      </c>
      <c r="F8" s="14" t="s">
        <v>79</v>
      </c>
      <c r="G8" s="14" t="s">
        <v>34</v>
      </c>
      <c r="H8" s="16">
        <v>137.0</v>
      </c>
      <c r="I8" s="16">
        <v>70.0</v>
      </c>
      <c r="J8" s="16">
        <v>0.0</v>
      </c>
      <c r="K8" s="16">
        <v>0.0</v>
      </c>
      <c r="L8" s="16">
        <v>19.0</v>
      </c>
      <c r="M8" s="16">
        <v>21.0</v>
      </c>
      <c r="N8" s="16">
        <f t="shared" si="1"/>
        <v>40</v>
      </c>
      <c r="O8" s="20">
        <v>0.292</v>
      </c>
      <c r="P8" s="21"/>
      <c r="Q8" s="16">
        <v>1.0</v>
      </c>
      <c r="R8" s="23"/>
    </row>
    <row r="9" ht="22.5" customHeight="1">
      <c r="A9" s="71" t="s">
        <v>19</v>
      </c>
      <c r="B9" s="56" t="s">
        <v>86</v>
      </c>
      <c r="C9" s="60">
        <v>46251.0</v>
      </c>
      <c r="D9" s="61">
        <v>0.3333333333333333</v>
      </c>
      <c r="E9" s="63" t="s">
        <v>32</v>
      </c>
      <c r="F9" s="63" t="s">
        <v>77</v>
      </c>
      <c r="G9" s="63" t="s">
        <v>34</v>
      </c>
      <c r="H9" s="68">
        <v>47.0</v>
      </c>
      <c r="I9" s="68">
        <v>19.0</v>
      </c>
      <c r="J9" s="68">
        <v>0.0</v>
      </c>
      <c r="K9" s="68">
        <v>0.0</v>
      </c>
      <c r="L9" s="68">
        <v>9.0</v>
      </c>
      <c r="M9" s="68">
        <v>4.0</v>
      </c>
      <c r="N9" s="68">
        <f t="shared" si="1"/>
        <v>13</v>
      </c>
      <c r="O9" s="70">
        <v>0.2766</v>
      </c>
      <c r="P9" s="72"/>
      <c r="Q9" s="68">
        <v>0.0</v>
      </c>
      <c r="R9" s="73"/>
    </row>
    <row r="10">
      <c r="B10" s="74"/>
    </row>
    <row r="11">
      <c r="B11" s="74"/>
    </row>
    <row r="12">
      <c r="B12" s="74"/>
    </row>
    <row r="13">
      <c r="B13" s="74"/>
    </row>
    <row r="14">
      <c r="B14" s="74"/>
    </row>
    <row r="15">
      <c r="B15" s="74"/>
    </row>
    <row r="16">
      <c r="B16" s="74"/>
    </row>
    <row r="17">
      <c r="B17" s="74"/>
    </row>
    <row r="18">
      <c r="B18" s="74"/>
    </row>
    <row r="19">
      <c r="B19" s="74"/>
    </row>
    <row r="20">
      <c r="B20" s="74"/>
    </row>
    <row r="21">
      <c r="B21" s="74"/>
    </row>
    <row r="22">
      <c r="B22" s="74"/>
    </row>
    <row r="23">
      <c r="B23" s="74"/>
    </row>
    <row r="24">
      <c r="B24" s="74"/>
    </row>
    <row r="25">
      <c r="B25" s="74"/>
    </row>
    <row r="26">
      <c r="B26" s="74"/>
    </row>
    <row r="27">
      <c r="B27" s="74"/>
    </row>
    <row r="28">
      <c r="B28" s="74"/>
    </row>
    <row r="29">
      <c r="B29" s="74"/>
    </row>
    <row r="30">
      <c r="B30" s="74"/>
    </row>
    <row r="31">
      <c r="B31" s="74"/>
    </row>
    <row r="32">
      <c r="B32" s="74"/>
    </row>
    <row r="33">
      <c r="B33" s="74"/>
    </row>
    <row r="34">
      <c r="B34" s="74"/>
    </row>
    <row r="35">
      <c r="B35" s="74"/>
    </row>
    <row r="36">
      <c r="B36" s="74"/>
    </row>
    <row r="37">
      <c r="B37" s="74"/>
    </row>
    <row r="38">
      <c r="B38" s="74"/>
    </row>
    <row r="39">
      <c r="B39" s="74"/>
    </row>
    <row r="40">
      <c r="B40" s="74"/>
    </row>
    <row r="41">
      <c r="B41" s="74"/>
    </row>
    <row r="42">
      <c r="B42" s="74"/>
    </row>
    <row r="43">
      <c r="B43" s="74"/>
    </row>
    <row r="44">
      <c r="B44" s="74"/>
    </row>
    <row r="45">
      <c r="B45" s="74"/>
    </row>
    <row r="46">
      <c r="B46" s="74"/>
    </row>
    <row r="47">
      <c r="B47" s="74"/>
    </row>
    <row r="48">
      <c r="B48" s="74"/>
    </row>
    <row r="49">
      <c r="B49" s="74"/>
    </row>
    <row r="50">
      <c r="B50" s="74"/>
    </row>
    <row r="51">
      <c r="B51" s="74"/>
    </row>
    <row r="52">
      <c r="B52" s="74"/>
    </row>
    <row r="53">
      <c r="B53" s="74"/>
    </row>
    <row r="54">
      <c r="B54" s="74"/>
    </row>
    <row r="55">
      <c r="B55" s="74"/>
    </row>
    <row r="56">
      <c r="B56" s="74"/>
    </row>
    <row r="57">
      <c r="B57" s="74"/>
    </row>
    <row r="58">
      <c r="B58" s="74"/>
    </row>
    <row r="59">
      <c r="B59" s="74"/>
    </row>
    <row r="60">
      <c r="B60" s="74"/>
    </row>
    <row r="61">
      <c r="B61" s="74"/>
    </row>
    <row r="62">
      <c r="B62" s="74"/>
    </row>
    <row r="63">
      <c r="B63" s="74"/>
    </row>
    <row r="64">
      <c r="B64" s="74"/>
    </row>
    <row r="65">
      <c r="B65" s="74"/>
    </row>
    <row r="66">
      <c r="B66" s="74"/>
    </row>
    <row r="67">
      <c r="B67" s="74"/>
    </row>
    <row r="68">
      <c r="B68" s="74"/>
    </row>
    <row r="69">
      <c r="B69" s="74"/>
    </row>
    <row r="70">
      <c r="B70" s="74"/>
    </row>
    <row r="71">
      <c r="B71" s="74"/>
    </row>
    <row r="72">
      <c r="B72" s="74"/>
    </row>
    <row r="73">
      <c r="B73" s="74"/>
    </row>
    <row r="74">
      <c r="B74" s="74"/>
    </row>
    <row r="75">
      <c r="B75" s="74"/>
    </row>
    <row r="76">
      <c r="B76" s="74"/>
    </row>
    <row r="77">
      <c r="B77" s="74"/>
    </row>
    <row r="78">
      <c r="B78" s="74"/>
    </row>
    <row r="79">
      <c r="B79" s="74"/>
    </row>
    <row r="80">
      <c r="B80" s="74"/>
    </row>
    <row r="81">
      <c r="B81" s="74"/>
    </row>
    <row r="82">
      <c r="B82" s="74"/>
    </row>
    <row r="83">
      <c r="B83" s="74"/>
    </row>
    <row r="84">
      <c r="B84" s="74"/>
    </row>
    <row r="85">
      <c r="B85" s="74"/>
    </row>
    <row r="86">
      <c r="B86" s="74"/>
    </row>
    <row r="87">
      <c r="B87" s="74"/>
    </row>
    <row r="88">
      <c r="B88" s="74"/>
    </row>
    <row r="89">
      <c r="B89" s="74"/>
    </row>
    <row r="90">
      <c r="B90" s="74"/>
    </row>
    <row r="91">
      <c r="B91" s="74"/>
    </row>
    <row r="92">
      <c r="B92" s="74"/>
    </row>
    <row r="93">
      <c r="B93" s="74"/>
    </row>
    <row r="94">
      <c r="B94" s="74"/>
    </row>
    <row r="95">
      <c r="B95" s="74"/>
    </row>
    <row r="96">
      <c r="B96" s="74"/>
    </row>
    <row r="97">
      <c r="B97" s="74"/>
    </row>
    <row r="98">
      <c r="B98" s="74"/>
    </row>
    <row r="99">
      <c r="B99" s="74"/>
    </row>
    <row r="100">
      <c r="B100" s="74"/>
    </row>
    <row r="101">
      <c r="B101" s="74"/>
    </row>
    <row r="102">
      <c r="B102" s="74"/>
    </row>
    <row r="103">
      <c r="B103" s="74"/>
    </row>
    <row r="104">
      <c r="B104" s="74"/>
    </row>
    <row r="105">
      <c r="B105" s="74"/>
    </row>
    <row r="106">
      <c r="B106" s="74"/>
    </row>
    <row r="107">
      <c r="B107" s="74"/>
    </row>
    <row r="108">
      <c r="B108" s="74"/>
    </row>
    <row r="109">
      <c r="B109" s="74"/>
    </row>
    <row r="110">
      <c r="B110" s="74"/>
    </row>
    <row r="111">
      <c r="B111" s="74"/>
    </row>
    <row r="112">
      <c r="B112" s="74"/>
    </row>
    <row r="113">
      <c r="B113" s="74"/>
    </row>
    <row r="114">
      <c r="B114" s="74"/>
    </row>
    <row r="115">
      <c r="B115" s="74"/>
    </row>
    <row r="116">
      <c r="B116" s="74"/>
    </row>
    <row r="117">
      <c r="B117" s="74"/>
    </row>
    <row r="118">
      <c r="B118" s="74"/>
    </row>
    <row r="119">
      <c r="B119" s="74"/>
    </row>
    <row r="120">
      <c r="B120" s="74"/>
    </row>
    <row r="121">
      <c r="B121" s="74"/>
    </row>
    <row r="122">
      <c r="B122" s="74"/>
    </row>
    <row r="123">
      <c r="B123" s="74"/>
    </row>
    <row r="124">
      <c r="B124" s="74"/>
    </row>
    <row r="125">
      <c r="B125" s="74"/>
    </row>
    <row r="126">
      <c r="B126" s="74"/>
    </row>
    <row r="127">
      <c r="B127" s="74"/>
    </row>
    <row r="128">
      <c r="B128" s="74"/>
    </row>
    <row r="129">
      <c r="B129" s="74"/>
    </row>
    <row r="130">
      <c r="B130" s="74"/>
    </row>
    <row r="131">
      <c r="B131" s="74"/>
    </row>
    <row r="132">
      <c r="B132" s="74"/>
    </row>
    <row r="133">
      <c r="B133" s="74"/>
    </row>
    <row r="134">
      <c r="B134" s="74"/>
    </row>
    <row r="135">
      <c r="B135" s="74"/>
    </row>
    <row r="136">
      <c r="B136" s="74"/>
    </row>
    <row r="137">
      <c r="B137" s="74"/>
    </row>
    <row r="138">
      <c r="B138" s="74"/>
    </row>
    <row r="139">
      <c r="B139" s="74"/>
    </row>
    <row r="140">
      <c r="B140" s="74"/>
    </row>
    <row r="141">
      <c r="B141" s="74"/>
    </row>
    <row r="142">
      <c r="B142" s="74"/>
    </row>
    <row r="143">
      <c r="B143" s="74"/>
    </row>
    <row r="144">
      <c r="B144" s="74"/>
    </row>
    <row r="145">
      <c r="B145" s="74"/>
    </row>
    <row r="146">
      <c r="B146" s="74"/>
    </row>
    <row r="147">
      <c r="B147" s="74"/>
    </row>
    <row r="148">
      <c r="B148" s="74"/>
    </row>
    <row r="149">
      <c r="B149" s="74"/>
    </row>
    <row r="150">
      <c r="B150" s="74"/>
    </row>
    <row r="151">
      <c r="B151" s="74"/>
    </row>
    <row r="152">
      <c r="B152" s="74"/>
    </row>
    <row r="153">
      <c r="B153" s="74"/>
    </row>
    <row r="154">
      <c r="B154" s="74"/>
    </row>
    <row r="155">
      <c r="B155" s="74"/>
    </row>
    <row r="156">
      <c r="B156" s="74"/>
    </row>
    <row r="157">
      <c r="B157" s="74"/>
    </row>
    <row r="158">
      <c r="B158" s="74"/>
    </row>
    <row r="159">
      <c r="B159" s="74"/>
    </row>
    <row r="160">
      <c r="B160" s="74"/>
    </row>
    <row r="161">
      <c r="B161" s="74"/>
    </row>
    <row r="162">
      <c r="B162" s="74"/>
    </row>
    <row r="163">
      <c r="B163" s="74"/>
    </row>
    <row r="164">
      <c r="B164" s="74"/>
    </row>
    <row r="165">
      <c r="B165" s="74"/>
    </row>
    <row r="166">
      <c r="B166" s="74"/>
    </row>
    <row r="167">
      <c r="B167" s="74"/>
    </row>
    <row r="168">
      <c r="B168" s="74"/>
    </row>
    <row r="169">
      <c r="B169" s="74"/>
    </row>
    <row r="170">
      <c r="B170" s="74"/>
    </row>
    <row r="171">
      <c r="B171" s="74"/>
    </row>
    <row r="172">
      <c r="B172" s="74"/>
    </row>
    <row r="173">
      <c r="B173" s="74"/>
    </row>
    <row r="174">
      <c r="B174" s="74"/>
    </row>
    <row r="175">
      <c r="B175" s="74"/>
    </row>
    <row r="176">
      <c r="B176" s="74"/>
    </row>
    <row r="177">
      <c r="B177" s="74"/>
    </row>
    <row r="178">
      <c r="B178" s="74"/>
    </row>
    <row r="179">
      <c r="B179" s="74"/>
    </row>
    <row r="180">
      <c r="B180" s="74"/>
    </row>
    <row r="181">
      <c r="B181" s="74"/>
    </row>
    <row r="182">
      <c r="B182" s="74"/>
    </row>
    <row r="183">
      <c r="B183" s="74"/>
    </row>
    <row r="184">
      <c r="B184" s="74"/>
    </row>
    <row r="185">
      <c r="B185" s="74"/>
    </row>
    <row r="186">
      <c r="B186" s="74"/>
    </row>
    <row r="187">
      <c r="B187" s="74"/>
    </row>
    <row r="188">
      <c r="B188" s="74"/>
    </row>
    <row r="189">
      <c r="B189" s="74"/>
    </row>
    <row r="190">
      <c r="B190" s="74"/>
    </row>
    <row r="191">
      <c r="B191" s="74"/>
    </row>
    <row r="192">
      <c r="B192" s="74"/>
    </row>
    <row r="193">
      <c r="B193" s="74"/>
    </row>
    <row r="194">
      <c r="B194" s="74"/>
    </row>
    <row r="195">
      <c r="B195" s="74"/>
    </row>
    <row r="196">
      <c r="B196" s="74"/>
    </row>
    <row r="197">
      <c r="B197" s="74"/>
    </row>
    <row r="198">
      <c r="B198" s="74"/>
    </row>
    <row r="199">
      <c r="B199" s="74"/>
    </row>
    <row r="200">
      <c r="B200" s="74"/>
    </row>
    <row r="201">
      <c r="B201" s="74"/>
    </row>
    <row r="202">
      <c r="B202" s="74"/>
    </row>
    <row r="203">
      <c r="B203" s="74"/>
    </row>
    <row r="204">
      <c r="B204" s="74"/>
    </row>
    <row r="205">
      <c r="B205" s="74"/>
    </row>
    <row r="206">
      <c r="B206" s="74"/>
    </row>
    <row r="207">
      <c r="B207" s="74"/>
    </row>
    <row r="208">
      <c r="B208" s="74"/>
    </row>
    <row r="209">
      <c r="B209" s="74"/>
    </row>
    <row r="210">
      <c r="B210" s="74"/>
    </row>
    <row r="211">
      <c r="B211" s="74"/>
    </row>
    <row r="212">
      <c r="B212" s="74"/>
    </row>
    <row r="213">
      <c r="B213" s="74"/>
    </row>
    <row r="214">
      <c r="B214" s="74"/>
    </row>
    <row r="215">
      <c r="B215" s="74"/>
    </row>
    <row r="216">
      <c r="B216" s="74"/>
    </row>
    <row r="217">
      <c r="B217" s="74"/>
    </row>
    <row r="218">
      <c r="B218" s="74"/>
    </row>
    <row r="219">
      <c r="B219" s="74"/>
    </row>
    <row r="220">
      <c r="B220" s="74"/>
    </row>
    <row r="221">
      <c r="B221" s="74"/>
    </row>
    <row r="222">
      <c r="B222" s="74"/>
    </row>
    <row r="223">
      <c r="B223" s="74"/>
    </row>
    <row r="224">
      <c r="B224" s="74"/>
    </row>
    <row r="225">
      <c r="B225" s="74"/>
    </row>
    <row r="226">
      <c r="B226" s="74"/>
    </row>
    <row r="227">
      <c r="B227" s="74"/>
    </row>
    <row r="228">
      <c r="B228" s="74"/>
    </row>
    <row r="229">
      <c r="B229" s="74"/>
    </row>
    <row r="230">
      <c r="B230" s="74"/>
    </row>
    <row r="231">
      <c r="B231" s="74"/>
    </row>
    <row r="232">
      <c r="B232" s="74"/>
    </row>
    <row r="233">
      <c r="B233" s="74"/>
    </row>
    <row r="234">
      <c r="B234" s="74"/>
    </row>
    <row r="235">
      <c r="B235" s="74"/>
    </row>
    <row r="236">
      <c r="B236" s="74"/>
    </row>
    <row r="237">
      <c r="B237" s="74"/>
    </row>
    <row r="238">
      <c r="B238" s="74"/>
    </row>
    <row r="239">
      <c r="B239" s="74"/>
    </row>
    <row r="240">
      <c r="B240" s="74"/>
    </row>
    <row r="241">
      <c r="B241" s="74"/>
    </row>
    <row r="242">
      <c r="B242" s="74"/>
    </row>
    <row r="243">
      <c r="B243" s="74"/>
    </row>
    <row r="244">
      <c r="B244" s="74"/>
    </row>
    <row r="245">
      <c r="B245" s="74"/>
    </row>
    <row r="246">
      <c r="B246" s="74"/>
    </row>
    <row r="247">
      <c r="B247" s="74"/>
    </row>
    <row r="248">
      <c r="B248" s="74"/>
    </row>
    <row r="249">
      <c r="B249" s="74"/>
    </row>
    <row r="250">
      <c r="B250" s="74"/>
    </row>
    <row r="251">
      <c r="B251" s="74"/>
    </row>
    <row r="252">
      <c r="B252" s="74"/>
    </row>
    <row r="253">
      <c r="B253" s="74"/>
    </row>
    <row r="254">
      <c r="B254" s="74"/>
    </row>
    <row r="255">
      <c r="B255" s="74"/>
    </row>
    <row r="256">
      <c r="B256" s="74"/>
    </row>
    <row r="257">
      <c r="B257" s="74"/>
    </row>
    <row r="258">
      <c r="B258" s="74"/>
    </row>
    <row r="259">
      <c r="B259" s="74"/>
    </row>
    <row r="260">
      <c r="B260" s="74"/>
    </row>
    <row r="261">
      <c r="B261" s="74"/>
    </row>
    <row r="262">
      <c r="B262" s="74"/>
    </row>
    <row r="263">
      <c r="B263" s="74"/>
    </row>
    <row r="264">
      <c r="B264" s="74"/>
    </row>
    <row r="265">
      <c r="B265" s="74"/>
    </row>
    <row r="266">
      <c r="B266" s="74"/>
    </row>
    <row r="267">
      <c r="B267" s="74"/>
    </row>
    <row r="268">
      <c r="B268" s="74"/>
    </row>
    <row r="269">
      <c r="B269" s="74"/>
    </row>
    <row r="270">
      <c r="B270" s="74"/>
    </row>
    <row r="271">
      <c r="B271" s="74"/>
    </row>
    <row r="272">
      <c r="B272" s="74"/>
    </row>
    <row r="273">
      <c r="B273" s="74"/>
    </row>
    <row r="274">
      <c r="B274" s="74"/>
    </row>
    <row r="275">
      <c r="B275" s="74"/>
    </row>
    <row r="276">
      <c r="B276" s="74"/>
    </row>
    <row r="277">
      <c r="B277" s="74"/>
    </row>
    <row r="278">
      <c r="B278" s="74"/>
    </row>
    <row r="279">
      <c r="B279" s="74"/>
    </row>
    <row r="280">
      <c r="B280" s="74"/>
    </row>
    <row r="281">
      <c r="B281" s="74"/>
    </row>
    <row r="282">
      <c r="B282" s="74"/>
    </row>
    <row r="283">
      <c r="B283" s="74"/>
    </row>
    <row r="284">
      <c r="B284" s="74"/>
    </row>
    <row r="285">
      <c r="B285" s="74"/>
    </row>
    <row r="286">
      <c r="B286" s="74"/>
    </row>
    <row r="287">
      <c r="B287" s="74"/>
    </row>
    <row r="288">
      <c r="B288" s="74"/>
    </row>
    <row r="289">
      <c r="B289" s="74"/>
    </row>
    <row r="290">
      <c r="B290" s="74"/>
    </row>
    <row r="291">
      <c r="B291" s="74"/>
    </row>
    <row r="292">
      <c r="B292" s="74"/>
    </row>
    <row r="293">
      <c r="B293" s="74"/>
    </row>
    <row r="294">
      <c r="B294" s="74"/>
    </row>
    <row r="295">
      <c r="B295" s="74"/>
    </row>
    <row r="296">
      <c r="B296" s="74"/>
    </row>
    <row r="297">
      <c r="B297" s="74"/>
    </row>
    <row r="298">
      <c r="B298" s="74"/>
    </row>
    <row r="299">
      <c r="B299" s="74"/>
    </row>
    <row r="300">
      <c r="B300" s="74"/>
    </row>
    <row r="301">
      <c r="B301" s="74"/>
    </row>
    <row r="302">
      <c r="B302" s="74"/>
    </row>
    <row r="303">
      <c r="B303" s="74"/>
    </row>
    <row r="304">
      <c r="B304" s="74"/>
    </row>
    <row r="305">
      <c r="B305" s="74"/>
    </row>
    <row r="306">
      <c r="B306" s="74"/>
    </row>
    <row r="307">
      <c r="B307" s="74"/>
    </row>
    <row r="308">
      <c r="B308" s="74"/>
    </row>
    <row r="309">
      <c r="B309" s="74"/>
    </row>
    <row r="310">
      <c r="B310" s="74"/>
    </row>
    <row r="311">
      <c r="B311" s="74"/>
    </row>
    <row r="312">
      <c r="B312" s="74"/>
    </row>
    <row r="313">
      <c r="B313" s="74"/>
    </row>
    <row r="314">
      <c r="B314" s="74"/>
    </row>
    <row r="315">
      <c r="B315" s="74"/>
    </row>
    <row r="316">
      <c r="B316" s="74"/>
    </row>
    <row r="317">
      <c r="B317" s="74"/>
    </row>
    <row r="318">
      <c r="B318" s="74"/>
    </row>
    <row r="319">
      <c r="B319" s="74"/>
    </row>
    <row r="320">
      <c r="B320" s="74"/>
    </row>
    <row r="321">
      <c r="B321" s="74"/>
    </row>
    <row r="322">
      <c r="B322" s="74"/>
    </row>
    <row r="323">
      <c r="B323" s="74"/>
    </row>
    <row r="324">
      <c r="B324" s="74"/>
    </row>
    <row r="325">
      <c r="B325" s="74"/>
    </row>
    <row r="326">
      <c r="B326" s="74"/>
    </row>
    <row r="327">
      <c r="B327" s="74"/>
    </row>
    <row r="328">
      <c r="B328" s="74"/>
    </row>
    <row r="329">
      <c r="B329" s="74"/>
    </row>
    <row r="330">
      <c r="B330" s="74"/>
    </row>
    <row r="331">
      <c r="B331" s="74"/>
    </row>
    <row r="332">
      <c r="B332" s="74"/>
    </row>
    <row r="333">
      <c r="B333" s="74"/>
    </row>
    <row r="334">
      <c r="B334" s="74"/>
    </row>
    <row r="335">
      <c r="B335" s="74"/>
    </row>
    <row r="336">
      <c r="B336" s="74"/>
    </row>
    <row r="337">
      <c r="B337" s="74"/>
    </row>
    <row r="338">
      <c r="B338" s="74"/>
    </row>
    <row r="339">
      <c r="B339" s="74"/>
    </row>
    <row r="340">
      <c r="B340" s="74"/>
    </row>
    <row r="341">
      <c r="B341" s="74"/>
    </row>
    <row r="342">
      <c r="B342" s="74"/>
    </row>
    <row r="343">
      <c r="B343" s="74"/>
    </row>
    <row r="344">
      <c r="B344" s="74"/>
    </row>
    <row r="345">
      <c r="B345" s="74"/>
    </row>
    <row r="346">
      <c r="B346" s="74"/>
    </row>
    <row r="347">
      <c r="B347" s="74"/>
    </row>
    <row r="348">
      <c r="B348" s="74"/>
    </row>
    <row r="349">
      <c r="B349" s="74"/>
    </row>
    <row r="350">
      <c r="B350" s="74"/>
    </row>
    <row r="351">
      <c r="B351" s="74"/>
    </row>
    <row r="352">
      <c r="B352" s="74"/>
    </row>
    <row r="353">
      <c r="B353" s="74"/>
    </row>
    <row r="354">
      <c r="B354" s="74"/>
    </row>
    <row r="355">
      <c r="B355" s="74"/>
    </row>
    <row r="356">
      <c r="B356" s="74"/>
    </row>
    <row r="357">
      <c r="B357" s="74"/>
    </row>
    <row r="358">
      <c r="B358" s="74"/>
    </row>
    <row r="359">
      <c r="B359" s="74"/>
    </row>
    <row r="360">
      <c r="B360" s="74"/>
    </row>
    <row r="361">
      <c r="B361" s="74"/>
    </row>
    <row r="362">
      <c r="B362" s="74"/>
    </row>
    <row r="363">
      <c r="B363" s="74"/>
    </row>
    <row r="364">
      <c r="B364" s="74"/>
    </row>
    <row r="365">
      <c r="B365" s="74"/>
    </row>
    <row r="366">
      <c r="B366" s="74"/>
    </row>
    <row r="367">
      <c r="B367" s="74"/>
    </row>
    <row r="368">
      <c r="B368" s="74"/>
    </row>
    <row r="369">
      <c r="B369" s="74"/>
    </row>
    <row r="370">
      <c r="B370" s="74"/>
    </row>
    <row r="371">
      <c r="B371" s="74"/>
    </row>
    <row r="372">
      <c r="B372" s="74"/>
    </row>
    <row r="373">
      <c r="B373" s="74"/>
    </row>
    <row r="374">
      <c r="B374" s="74"/>
    </row>
    <row r="375">
      <c r="B375" s="74"/>
    </row>
    <row r="376">
      <c r="B376" s="74"/>
    </row>
    <row r="377">
      <c r="B377" s="74"/>
    </row>
    <row r="378">
      <c r="B378" s="74"/>
    </row>
    <row r="379">
      <c r="B379" s="74"/>
    </row>
    <row r="380">
      <c r="B380" s="74"/>
    </row>
    <row r="381">
      <c r="B381" s="74"/>
    </row>
    <row r="382">
      <c r="B382" s="74"/>
    </row>
    <row r="383">
      <c r="B383" s="74"/>
    </row>
    <row r="384">
      <c r="B384" s="74"/>
    </row>
    <row r="385">
      <c r="B385" s="74"/>
    </row>
    <row r="386">
      <c r="B386" s="74"/>
    </row>
    <row r="387">
      <c r="B387" s="74"/>
    </row>
    <row r="388">
      <c r="B388" s="74"/>
    </row>
    <row r="389">
      <c r="B389" s="74"/>
    </row>
    <row r="390">
      <c r="B390" s="74"/>
    </row>
    <row r="391">
      <c r="B391" s="74"/>
    </row>
    <row r="392">
      <c r="B392" s="74"/>
    </row>
    <row r="393">
      <c r="B393" s="74"/>
    </row>
    <row r="394">
      <c r="B394" s="74"/>
    </row>
    <row r="395">
      <c r="B395" s="74"/>
    </row>
    <row r="396">
      <c r="B396" s="74"/>
    </row>
    <row r="397">
      <c r="B397" s="74"/>
    </row>
    <row r="398">
      <c r="B398" s="74"/>
    </row>
    <row r="399">
      <c r="B399" s="74"/>
    </row>
    <row r="400">
      <c r="B400" s="74"/>
    </row>
    <row r="401">
      <c r="B401" s="74"/>
    </row>
    <row r="402">
      <c r="B402" s="74"/>
    </row>
    <row r="403">
      <c r="B403" s="74"/>
    </row>
    <row r="404">
      <c r="B404" s="74"/>
    </row>
    <row r="405">
      <c r="B405" s="74"/>
    </row>
    <row r="406">
      <c r="B406" s="74"/>
    </row>
    <row r="407">
      <c r="B407" s="74"/>
    </row>
    <row r="408">
      <c r="B408" s="74"/>
    </row>
    <row r="409">
      <c r="B409" s="74"/>
    </row>
    <row r="410">
      <c r="B410" s="74"/>
    </row>
    <row r="411">
      <c r="B411" s="74"/>
    </row>
    <row r="412">
      <c r="B412" s="74"/>
    </row>
    <row r="413">
      <c r="B413" s="74"/>
    </row>
    <row r="414">
      <c r="B414" s="74"/>
    </row>
    <row r="415">
      <c r="B415" s="74"/>
    </row>
    <row r="416">
      <c r="B416" s="74"/>
    </row>
    <row r="417">
      <c r="B417" s="74"/>
    </row>
    <row r="418">
      <c r="B418" s="74"/>
    </row>
    <row r="419">
      <c r="B419" s="74"/>
    </row>
    <row r="420">
      <c r="B420" s="74"/>
    </row>
    <row r="421">
      <c r="B421" s="74"/>
    </row>
    <row r="422">
      <c r="B422" s="74"/>
    </row>
    <row r="423">
      <c r="B423" s="74"/>
    </row>
    <row r="424">
      <c r="B424" s="74"/>
    </row>
    <row r="425">
      <c r="B425" s="74"/>
    </row>
    <row r="426">
      <c r="B426" s="74"/>
    </row>
    <row r="427">
      <c r="B427" s="74"/>
    </row>
    <row r="428">
      <c r="B428" s="74"/>
    </row>
    <row r="429">
      <c r="B429" s="74"/>
    </row>
    <row r="430">
      <c r="B430" s="74"/>
    </row>
    <row r="431">
      <c r="B431" s="74"/>
    </row>
    <row r="432">
      <c r="B432" s="74"/>
    </row>
    <row r="433">
      <c r="B433" s="74"/>
    </row>
    <row r="434">
      <c r="B434" s="74"/>
    </row>
    <row r="435">
      <c r="B435" s="74"/>
    </row>
    <row r="436">
      <c r="B436" s="74"/>
    </row>
    <row r="437">
      <c r="B437" s="74"/>
    </row>
    <row r="438">
      <c r="B438" s="74"/>
    </row>
    <row r="439">
      <c r="B439" s="74"/>
    </row>
    <row r="440">
      <c r="B440" s="74"/>
    </row>
    <row r="441">
      <c r="B441" s="74"/>
    </row>
    <row r="442">
      <c r="B442" s="74"/>
    </row>
    <row r="443">
      <c r="B443" s="74"/>
    </row>
    <row r="444">
      <c r="B444" s="74"/>
    </row>
    <row r="445">
      <c r="B445" s="74"/>
    </row>
    <row r="446">
      <c r="B446" s="74"/>
    </row>
    <row r="447">
      <c r="B447" s="74"/>
    </row>
    <row r="448">
      <c r="B448" s="74"/>
    </row>
    <row r="449">
      <c r="B449" s="74"/>
    </row>
    <row r="450">
      <c r="B450" s="74"/>
    </row>
    <row r="451">
      <c r="B451" s="74"/>
    </row>
    <row r="452">
      <c r="B452" s="74"/>
    </row>
    <row r="453">
      <c r="B453" s="74"/>
    </row>
    <row r="454">
      <c r="B454" s="74"/>
    </row>
    <row r="455">
      <c r="B455" s="74"/>
    </row>
    <row r="456">
      <c r="B456" s="74"/>
    </row>
    <row r="457">
      <c r="B457" s="74"/>
    </row>
    <row r="458">
      <c r="B458" s="74"/>
    </row>
    <row r="459">
      <c r="B459" s="74"/>
    </row>
    <row r="460">
      <c r="B460" s="74"/>
    </row>
    <row r="461">
      <c r="B461" s="74"/>
    </row>
    <row r="462">
      <c r="B462" s="74"/>
    </row>
    <row r="463">
      <c r="B463" s="74"/>
    </row>
    <row r="464">
      <c r="B464" s="74"/>
    </row>
    <row r="465">
      <c r="B465" s="74"/>
    </row>
    <row r="466">
      <c r="B466" s="74"/>
    </row>
    <row r="467">
      <c r="B467" s="74"/>
    </row>
    <row r="468">
      <c r="B468" s="74"/>
    </row>
    <row r="469">
      <c r="B469" s="74"/>
    </row>
    <row r="470">
      <c r="B470" s="74"/>
    </row>
    <row r="471">
      <c r="B471" s="74"/>
    </row>
    <row r="472">
      <c r="B472" s="74"/>
    </row>
    <row r="473">
      <c r="B473" s="74"/>
    </row>
    <row r="474">
      <c r="B474" s="74"/>
    </row>
    <row r="475">
      <c r="B475" s="74"/>
    </row>
    <row r="476">
      <c r="B476" s="74"/>
    </row>
    <row r="477">
      <c r="B477" s="74"/>
    </row>
    <row r="478">
      <c r="B478" s="74"/>
    </row>
    <row r="479">
      <c r="B479" s="74"/>
    </row>
    <row r="480">
      <c r="B480" s="74"/>
    </row>
    <row r="481">
      <c r="B481" s="74"/>
    </row>
    <row r="482">
      <c r="B482" s="74"/>
    </row>
    <row r="483">
      <c r="B483" s="74"/>
    </row>
    <row r="484">
      <c r="B484" s="74"/>
    </row>
    <row r="485">
      <c r="B485" s="74"/>
    </row>
    <row r="486">
      <c r="B486" s="74"/>
    </row>
    <row r="487">
      <c r="B487" s="74"/>
    </row>
    <row r="488">
      <c r="B488" s="74"/>
    </row>
    <row r="489">
      <c r="B489" s="74"/>
    </row>
    <row r="490">
      <c r="B490" s="74"/>
    </row>
    <row r="491">
      <c r="B491" s="74"/>
    </row>
    <row r="492">
      <c r="B492" s="74"/>
    </row>
    <row r="493">
      <c r="B493" s="74"/>
    </row>
    <row r="494">
      <c r="B494" s="74"/>
    </row>
    <row r="495">
      <c r="B495" s="74"/>
    </row>
    <row r="496">
      <c r="B496" s="74"/>
    </row>
    <row r="497">
      <c r="B497" s="74"/>
    </row>
    <row r="498">
      <c r="B498" s="74"/>
    </row>
    <row r="499">
      <c r="B499" s="74"/>
    </row>
    <row r="500">
      <c r="B500" s="74"/>
    </row>
    <row r="501">
      <c r="B501" s="74"/>
    </row>
    <row r="502">
      <c r="B502" s="74"/>
    </row>
    <row r="503">
      <c r="B503" s="74"/>
    </row>
    <row r="504">
      <c r="B504" s="74"/>
    </row>
    <row r="505">
      <c r="B505" s="74"/>
    </row>
    <row r="506">
      <c r="B506" s="74"/>
    </row>
    <row r="507">
      <c r="B507" s="74"/>
    </row>
    <row r="508">
      <c r="B508" s="74"/>
    </row>
    <row r="509">
      <c r="B509" s="74"/>
    </row>
    <row r="510">
      <c r="B510" s="74"/>
    </row>
    <row r="511">
      <c r="B511" s="74"/>
    </row>
    <row r="512">
      <c r="B512" s="74"/>
    </row>
    <row r="513">
      <c r="B513" s="74"/>
    </row>
    <row r="514">
      <c r="B514" s="74"/>
    </row>
    <row r="515">
      <c r="B515" s="74"/>
    </row>
    <row r="516">
      <c r="B516" s="74"/>
    </row>
    <row r="517">
      <c r="B517" s="74"/>
    </row>
    <row r="518">
      <c r="B518" s="74"/>
    </row>
    <row r="519">
      <c r="B519" s="74"/>
    </row>
    <row r="520">
      <c r="B520" s="74"/>
    </row>
    <row r="521">
      <c r="B521" s="74"/>
    </row>
    <row r="522">
      <c r="B522" s="74"/>
    </row>
    <row r="523">
      <c r="B523" s="74"/>
    </row>
    <row r="524">
      <c r="B524" s="74"/>
    </row>
    <row r="525">
      <c r="B525" s="74"/>
    </row>
    <row r="526">
      <c r="B526" s="74"/>
    </row>
    <row r="527">
      <c r="B527" s="74"/>
    </row>
    <row r="528">
      <c r="B528" s="74"/>
    </row>
    <row r="529">
      <c r="B529" s="74"/>
    </row>
    <row r="530">
      <c r="B530" s="74"/>
    </row>
    <row r="531">
      <c r="B531" s="74"/>
    </row>
    <row r="532">
      <c r="B532" s="74"/>
    </row>
    <row r="533">
      <c r="B533" s="74"/>
    </row>
    <row r="534">
      <c r="B534" s="74"/>
    </row>
    <row r="535">
      <c r="B535" s="74"/>
    </row>
    <row r="536">
      <c r="B536" s="74"/>
    </row>
    <row r="537">
      <c r="B537" s="74"/>
    </row>
    <row r="538">
      <c r="B538" s="74"/>
    </row>
    <row r="539">
      <c r="B539" s="74"/>
    </row>
    <row r="540">
      <c r="B540" s="74"/>
    </row>
    <row r="541">
      <c r="B541" s="74"/>
    </row>
    <row r="542">
      <c r="B542" s="74"/>
    </row>
    <row r="543">
      <c r="B543" s="74"/>
    </row>
    <row r="544">
      <c r="B544" s="74"/>
    </row>
    <row r="545">
      <c r="B545" s="74"/>
    </row>
    <row r="546">
      <c r="B546" s="74"/>
    </row>
    <row r="547">
      <c r="B547" s="74"/>
    </row>
    <row r="548">
      <c r="B548" s="74"/>
    </row>
    <row r="549">
      <c r="B549" s="74"/>
    </row>
    <row r="550">
      <c r="B550" s="74"/>
    </row>
    <row r="551">
      <c r="B551" s="74"/>
    </row>
    <row r="552">
      <c r="B552" s="74"/>
    </row>
    <row r="553">
      <c r="B553" s="74"/>
    </row>
    <row r="554">
      <c r="B554" s="74"/>
    </row>
    <row r="555">
      <c r="B555" s="74"/>
    </row>
    <row r="556">
      <c r="B556" s="74"/>
    </row>
    <row r="557">
      <c r="B557" s="74"/>
    </row>
    <row r="558">
      <c r="B558" s="74"/>
    </row>
    <row r="559">
      <c r="B559" s="74"/>
    </row>
    <row r="560">
      <c r="B560" s="74"/>
    </row>
    <row r="561">
      <c r="B561" s="74"/>
    </row>
    <row r="562">
      <c r="B562" s="74"/>
    </row>
    <row r="563">
      <c r="B563" s="74"/>
    </row>
    <row r="564">
      <c r="B564" s="74"/>
    </row>
    <row r="565">
      <c r="B565" s="74"/>
    </row>
    <row r="566">
      <c r="B566" s="74"/>
    </row>
    <row r="567">
      <c r="B567" s="74"/>
    </row>
    <row r="568">
      <c r="B568" s="74"/>
    </row>
    <row r="569">
      <c r="B569" s="74"/>
    </row>
    <row r="570">
      <c r="B570" s="74"/>
    </row>
    <row r="571">
      <c r="B571" s="74"/>
    </row>
    <row r="572">
      <c r="B572" s="74"/>
    </row>
    <row r="573">
      <c r="B573" s="74"/>
    </row>
    <row r="574">
      <c r="B574" s="74"/>
    </row>
    <row r="575">
      <c r="B575" s="74"/>
    </row>
    <row r="576">
      <c r="B576" s="74"/>
    </row>
    <row r="577">
      <c r="B577" s="74"/>
    </row>
    <row r="578">
      <c r="B578" s="74"/>
    </row>
    <row r="579">
      <c r="B579" s="74"/>
    </row>
    <row r="580">
      <c r="B580" s="74"/>
    </row>
    <row r="581">
      <c r="B581" s="74"/>
    </row>
    <row r="582">
      <c r="B582" s="74"/>
    </row>
    <row r="583">
      <c r="B583" s="74"/>
    </row>
    <row r="584">
      <c r="B584" s="74"/>
    </row>
    <row r="585">
      <c r="B585" s="74"/>
    </row>
    <row r="586">
      <c r="B586" s="74"/>
    </row>
    <row r="587">
      <c r="B587" s="74"/>
    </row>
    <row r="588">
      <c r="B588" s="74"/>
    </row>
    <row r="589">
      <c r="B589" s="74"/>
    </row>
    <row r="590">
      <c r="B590" s="74"/>
    </row>
    <row r="591">
      <c r="B591" s="74"/>
    </row>
    <row r="592">
      <c r="B592" s="74"/>
    </row>
    <row r="593">
      <c r="B593" s="74"/>
    </row>
    <row r="594">
      <c r="B594" s="74"/>
    </row>
    <row r="595">
      <c r="B595" s="74"/>
    </row>
    <row r="596">
      <c r="B596" s="74"/>
    </row>
    <row r="597">
      <c r="B597" s="74"/>
    </row>
    <row r="598">
      <c r="B598" s="74"/>
    </row>
    <row r="599">
      <c r="B599" s="74"/>
    </row>
    <row r="600">
      <c r="B600" s="74"/>
    </row>
    <row r="601">
      <c r="B601" s="74"/>
    </row>
    <row r="602">
      <c r="B602" s="74"/>
    </row>
    <row r="603">
      <c r="B603" s="74"/>
    </row>
    <row r="604">
      <c r="B604" s="74"/>
    </row>
    <row r="605">
      <c r="B605" s="74"/>
    </row>
    <row r="606">
      <c r="B606" s="74"/>
    </row>
    <row r="607">
      <c r="B607" s="74"/>
    </row>
    <row r="608">
      <c r="B608" s="74"/>
    </row>
    <row r="609">
      <c r="B609" s="74"/>
    </row>
    <row r="610">
      <c r="B610" s="74"/>
    </row>
    <row r="611">
      <c r="B611" s="74"/>
    </row>
    <row r="612">
      <c r="B612" s="74"/>
    </row>
    <row r="613">
      <c r="B613" s="74"/>
    </row>
    <row r="614">
      <c r="B614" s="74"/>
    </row>
    <row r="615">
      <c r="B615" s="74"/>
    </row>
    <row r="616">
      <c r="B616" s="74"/>
    </row>
    <row r="617">
      <c r="B617" s="74"/>
    </row>
    <row r="618">
      <c r="B618" s="74"/>
    </row>
    <row r="619">
      <c r="B619" s="74"/>
    </row>
    <row r="620">
      <c r="B620" s="74"/>
    </row>
    <row r="621">
      <c r="B621" s="74"/>
    </row>
    <row r="622">
      <c r="B622" s="74"/>
    </row>
    <row r="623">
      <c r="B623" s="74"/>
    </row>
    <row r="624">
      <c r="B624" s="74"/>
    </row>
    <row r="625">
      <c r="B625" s="74"/>
    </row>
    <row r="626">
      <c r="B626" s="74"/>
    </row>
    <row r="627">
      <c r="B627" s="74"/>
    </row>
    <row r="628">
      <c r="B628" s="74"/>
    </row>
    <row r="629">
      <c r="B629" s="74"/>
    </row>
    <row r="630">
      <c r="B630" s="74"/>
    </row>
    <row r="631">
      <c r="B631" s="74"/>
    </row>
    <row r="632">
      <c r="B632" s="74"/>
    </row>
    <row r="633">
      <c r="B633" s="74"/>
    </row>
    <row r="634">
      <c r="B634" s="74"/>
    </row>
    <row r="635">
      <c r="B635" s="74"/>
    </row>
    <row r="636">
      <c r="B636" s="74"/>
    </row>
    <row r="637">
      <c r="B637" s="74"/>
    </row>
    <row r="638">
      <c r="B638" s="74"/>
    </row>
    <row r="639">
      <c r="B639" s="74"/>
    </row>
    <row r="640">
      <c r="B640" s="74"/>
    </row>
    <row r="641">
      <c r="B641" s="74"/>
    </row>
    <row r="642">
      <c r="B642" s="74"/>
    </row>
    <row r="643">
      <c r="B643" s="74"/>
    </row>
    <row r="644">
      <c r="B644" s="74"/>
    </row>
    <row r="645">
      <c r="B645" s="74"/>
    </row>
    <row r="646">
      <c r="B646" s="74"/>
    </row>
    <row r="647">
      <c r="B647" s="74"/>
    </row>
    <row r="648">
      <c r="B648" s="74"/>
    </row>
    <row r="649">
      <c r="B649" s="74"/>
    </row>
    <row r="650">
      <c r="B650" s="74"/>
    </row>
    <row r="651">
      <c r="B651" s="74"/>
    </row>
    <row r="652">
      <c r="B652" s="74"/>
    </row>
    <row r="653">
      <c r="B653" s="74"/>
    </row>
    <row r="654">
      <c r="B654" s="74"/>
    </row>
    <row r="655">
      <c r="B655" s="74"/>
    </row>
    <row r="656">
      <c r="B656" s="74"/>
    </row>
    <row r="657">
      <c r="B657" s="74"/>
    </row>
    <row r="658">
      <c r="B658" s="74"/>
    </row>
    <row r="659">
      <c r="B659" s="74"/>
    </row>
    <row r="660">
      <c r="B660" s="74"/>
    </row>
    <row r="661">
      <c r="B661" s="74"/>
    </row>
    <row r="662">
      <c r="B662" s="74"/>
    </row>
    <row r="663">
      <c r="B663" s="74"/>
    </row>
    <row r="664">
      <c r="B664" s="74"/>
    </row>
    <row r="665">
      <c r="B665" s="74"/>
    </row>
    <row r="666">
      <c r="B666" s="74"/>
    </row>
    <row r="667">
      <c r="B667" s="74"/>
    </row>
    <row r="668">
      <c r="B668" s="74"/>
    </row>
    <row r="669">
      <c r="B669" s="74"/>
    </row>
    <row r="670">
      <c r="B670" s="74"/>
    </row>
    <row r="671">
      <c r="B671" s="74"/>
    </row>
    <row r="672">
      <c r="B672" s="74"/>
    </row>
    <row r="673">
      <c r="B673" s="74"/>
    </row>
    <row r="674">
      <c r="B674" s="74"/>
    </row>
    <row r="675">
      <c r="B675" s="74"/>
    </row>
    <row r="676">
      <c r="B676" s="74"/>
    </row>
    <row r="677">
      <c r="B677" s="74"/>
    </row>
    <row r="678">
      <c r="B678" s="74"/>
    </row>
    <row r="679">
      <c r="B679" s="74"/>
    </row>
    <row r="680">
      <c r="B680" s="74"/>
    </row>
    <row r="681">
      <c r="B681" s="74"/>
    </row>
    <row r="682">
      <c r="B682" s="74"/>
    </row>
    <row r="683">
      <c r="B683" s="74"/>
    </row>
    <row r="684">
      <c r="B684" s="74"/>
    </row>
    <row r="685">
      <c r="B685" s="74"/>
    </row>
    <row r="686">
      <c r="B686" s="74"/>
    </row>
    <row r="687">
      <c r="B687" s="74"/>
    </row>
    <row r="688">
      <c r="B688" s="74"/>
    </row>
    <row r="689">
      <c r="B689" s="74"/>
    </row>
    <row r="690">
      <c r="B690" s="74"/>
    </row>
    <row r="691">
      <c r="B691" s="74"/>
    </row>
    <row r="692">
      <c r="B692" s="74"/>
    </row>
    <row r="693">
      <c r="B693" s="74"/>
    </row>
    <row r="694">
      <c r="B694" s="74"/>
    </row>
    <row r="695">
      <c r="B695" s="74"/>
    </row>
    <row r="696">
      <c r="B696" s="74"/>
    </row>
    <row r="697">
      <c r="B697" s="74"/>
    </row>
    <row r="698">
      <c r="B698" s="74"/>
    </row>
    <row r="699">
      <c r="B699" s="74"/>
    </row>
    <row r="700">
      <c r="B700" s="74"/>
    </row>
    <row r="701">
      <c r="B701" s="74"/>
    </row>
    <row r="702">
      <c r="B702" s="74"/>
    </row>
    <row r="703">
      <c r="B703" s="74"/>
    </row>
    <row r="704">
      <c r="B704" s="74"/>
    </row>
    <row r="705">
      <c r="B705" s="74"/>
    </row>
    <row r="706">
      <c r="B706" s="74"/>
    </row>
    <row r="707">
      <c r="B707" s="74"/>
    </row>
    <row r="708">
      <c r="B708" s="74"/>
    </row>
    <row r="709">
      <c r="B709" s="74"/>
    </row>
    <row r="710">
      <c r="B710" s="74"/>
    </row>
    <row r="711">
      <c r="B711" s="74"/>
    </row>
    <row r="712">
      <c r="B712" s="74"/>
    </row>
    <row r="713">
      <c r="B713" s="74"/>
    </row>
    <row r="714">
      <c r="B714" s="74"/>
    </row>
    <row r="715">
      <c r="B715" s="74"/>
    </row>
    <row r="716">
      <c r="B716" s="74"/>
    </row>
    <row r="717">
      <c r="B717" s="74"/>
    </row>
    <row r="718">
      <c r="B718" s="74"/>
    </row>
    <row r="719">
      <c r="B719" s="74"/>
    </row>
    <row r="720">
      <c r="B720" s="74"/>
    </row>
    <row r="721">
      <c r="B721" s="74"/>
    </row>
    <row r="722">
      <c r="B722" s="74"/>
    </row>
    <row r="723">
      <c r="B723" s="74"/>
    </row>
    <row r="724">
      <c r="B724" s="74"/>
    </row>
    <row r="725">
      <c r="B725" s="74"/>
    </row>
    <row r="726">
      <c r="B726" s="74"/>
    </row>
    <row r="727">
      <c r="B727" s="74"/>
    </row>
    <row r="728">
      <c r="B728" s="74"/>
    </row>
    <row r="729">
      <c r="B729" s="74"/>
    </row>
    <row r="730">
      <c r="B730" s="74"/>
    </row>
    <row r="731">
      <c r="B731" s="74"/>
    </row>
    <row r="732">
      <c r="B732" s="74"/>
    </row>
    <row r="733">
      <c r="B733" s="74"/>
    </row>
    <row r="734">
      <c r="B734" s="74"/>
    </row>
    <row r="735">
      <c r="B735" s="74"/>
    </row>
    <row r="736">
      <c r="B736" s="74"/>
    </row>
    <row r="737">
      <c r="B737" s="74"/>
    </row>
    <row r="738">
      <c r="B738" s="74"/>
    </row>
    <row r="739">
      <c r="B739" s="74"/>
    </row>
    <row r="740">
      <c r="B740" s="74"/>
    </row>
    <row r="741">
      <c r="B741" s="74"/>
    </row>
    <row r="742">
      <c r="B742" s="74"/>
    </row>
    <row r="743">
      <c r="B743" s="74"/>
    </row>
    <row r="744">
      <c r="B744" s="74"/>
    </row>
    <row r="745">
      <c r="B745" s="74"/>
    </row>
    <row r="746">
      <c r="B746" s="74"/>
    </row>
    <row r="747">
      <c r="B747" s="74"/>
    </row>
    <row r="748">
      <c r="B748" s="74"/>
    </row>
    <row r="749">
      <c r="B749" s="74"/>
    </row>
    <row r="750">
      <c r="B750" s="74"/>
    </row>
    <row r="751">
      <c r="B751" s="74"/>
    </row>
    <row r="752">
      <c r="B752" s="74"/>
    </row>
    <row r="753">
      <c r="B753" s="74"/>
    </row>
    <row r="754">
      <c r="B754" s="74"/>
    </row>
    <row r="755">
      <c r="B755" s="74"/>
    </row>
    <row r="756">
      <c r="B756" s="74"/>
    </row>
    <row r="757">
      <c r="B757" s="74"/>
    </row>
    <row r="758">
      <c r="B758" s="74"/>
    </row>
    <row r="759">
      <c r="B759" s="74"/>
    </row>
    <row r="760">
      <c r="B760" s="74"/>
    </row>
    <row r="761">
      <c r="B761" s="74"/>
    </row>
    <row r="762">
      <c r="B762" s="74"/>
    </row>
    <row r="763">
      <c r="B763" s="74"/>
    </row>
    <row r="764">
      <c r="B764" s="74"/>
    </row>
    <row r="765">
      <c r="B765" s="74"/>
    </row>
    <row r="766">
      <c r="B766" s="74"/>
    </row>
    <row r="767">
      <c r="B767" s="74"/>
    </row>
    <row r="768">
      <c r="B768" s="74"/>
    </row>
    <row r="769">
      <c r="B769" s="74"/>
    </row>
    <row r="770">
      <c r="B770" s="74"/>
    </row>
    <row r="771">
      <c r="B771" s="74"/>
    </row>
    <row r="772">
      <c r="B772" s="74"/>
    </row>
    <row r="773">
      <c r="B773" s="74"/>
    </row>
    <row r="774">
      <c r="B774" s="74"/>
    </row>
    <row r="775">
      <c r="B775" s="74"/>
    </row>
    <row r="776">
      <c r="B776" s="74"/>
    </row>
    <row r="777">
      <c r="B777" s="74"/>
    </row>
    <row r="778">
      <c r="B778" s="74"/>
    </row>
    <row r="779">
      <c r="B779" s="74"/>
    </row>
    <row r="780">
      <c r="B780" s="74"/>
    </row>
    <row r="781">
      <c r="B781" s="74"/>
    </row>
    <row r="782">
      <c r="B782" s="74"/>
    </row>
    <row r="783">
      <c r="B783" s="74"/>
    </row>
    <row r="784">
      <c r="B784" s="74"/>
    </row>
    <row r="785">
      <c r="B785" s="74"/>
    </row>
    <row r="786">
      <c r="B786" s="74"/>
    </row>
    <row r="787">
      <c r="B787" s="74"/>
    </row>
    <row r="788">
      <c r="B788" s="74"/>
    </row>
    <row r="789">
      <c r="B789" s="74"/>
    </row>
    <row r="790">
      <c r="B790" s="74"/>
    </row>
    <row r="791">
      <c r="B791" s="74"/>
    </row>
    <row r="792">
      <c r="B792" s="74"/>
    </row>
    <row r="793">
      <c r="B793" s="74"/>
    </row>
    <row r="794">
      <c r="B794" s="74"/>
    </row>
    <row r="795">
      <c r="B795" s="74"/>
    </row>
    <row r="796">
      <c r="B796" s="74"/>
    </row>
    <row r="797">
      <c r="B797" s="74"/>
    </row>
    <row r="798">
      <c r="B798" s="74"/>
    </row>
    <row r="799">
      <c r="B799" s="74"/>
    </row>
    <row r="800">
      <c r="B800" s="74"/>
    </row>
    <row r="801">
      <c r="B801" s="74"/>
    </row>
    <row r="802">
      <c r="B802" s="74"/>
    </row>
    <row r="803">
      <c r="B803" s="74"/>
    </row>
    <row r="804">
      <c r="B804" s="74"/>
    </row>
    <row r="805">
      <c r="B805" s="74"/>
    </row>
    <row r="806">
      <c r="B806" s="74"/>
    </row>
    <row r="807">
      <c r="B807" s="74"/>
    </row>
    <row r="808">
      <c r="B808" s="74"/>
    </row>
    <row r="809">
      <c r="B809" s="74"/>
    </row>
    <row r="810">
      <c r="B810" s="74"/>
    </row>
    <row r="811">
      <c r="B811" s="74"/>
    </row>
    <row r="812">
      <c r="B812" s="74"/>
    </row>
    <row r="813">
      <c r="B813" s="74"/>
    </row>
    <row r="814">
      <c r="B814" s="74"/>
    </row>
    <row r="815">
      <c r="B815" s="74"/>
    </row>
    <row r="816">
      <c r="B816" s="74"/>
    </row>
    <row r="817">
      <c r="B817" s="74"/>
    </row>
    <row r="818">
      <c r="B818" s="74"/>
    </row>
    <row r="819">
      <c r="B819" s="74"/>
    </row>
    <row r="820">
      <c r="B820" s="74"/>
    </row>
    <row r="821">
      <c r="B821" s="74"/>
    </row>
    <row r="822">
      <c r="B822" s="74"/>
    </row>
    <row r="823">
      <c r="B823" s="74"/>
    </row>
    <row r="824">
      <c r="B824" s="74"/>
    </row>
    <row r="825">
      <c r="B825" s="74"/>
    </row>
    <row r="826">
      <c r="B826" s="74"/>
    </row>
    <row r="827">
      <c r="B827" s="74"/>
    </row>
    <row r="828">
      <c r="B828" s="74"/>
    </row>
    <row r="829">
      <c r="B829" s="74"/>
    </row>
    <row r="830">
      <c r="B830" s="74"/>
    </row>
    <row r="831">
      <c r="B831" s="74"/>
    </row>
    <row r="832">
      <c r="B832" s="74"/>
    </row>
    <row r="833">
      <c r="B833" s="74"/>
    </row>
    <row r="834">
      <c r="B834" s="74"/>
    </row>
    <row r="835">
      <c r="B835" s="74"/>
    </row>
    <row r="836">
      <c r="B836" s="74"/>
    </row>
    <row r="837">
      <c r="B837" s="74"/>
    </row>
    <row r="838">
      <c r="B838" s="74"/>
    </row>
    <row r="839">
      <c r="B839" s="74"/>
    </row>
    <row r="840">
      <c r="B840" s="74"/>
    </row>
    <row r="841">
      <c r="B841" s="74"/>
    </row>
    <row r="842">
      <c r="B842" s="74"/>
    </row>
    <row r="843">
      <c r="B843" s="74"/>
    </row>
    <row r="844">
      <c r="B844" s="74"/>
    </row>
    <row r="845">
      <c r="B845" s="74"/>
    </row>
    <row r="846">
      <c r="B846" s="74"/>
    </row>
    <row r="847">
      <c r="B847" s="74"/>
    </row>
    <row r="848">
      <c r="B848" s="74"/>
    </row>
    <row r="849">
      <c r="B849" s="74"/>
    </row>
    <row r="850">
      <c r="B850" s="74"/>
    </row>
    <row r="851">
      <c r="B851" s="74"/>
    </row>
    <row r="852">
      <c r="B852" s="74"/>
    </row>
    <row r="853">
      <c r="B853" s="74"/>
    </row>
    <row r="854">
      <c r="B854" s="74"/>
    </row>
    <row r="855">
      <c r="B855" s="74"/>
    </row>
    <row r="856">
      <c r="B856" s="74"/>
    </row>
    <row r="857">
      <c r="B857" s="74"/>
    </row>
    <row r="858">
      <c r="B858" s="74"/>
    </row>
    <row r="859">
      <c r="B859" s="74"/>
    </row>
    <row r="860">
      <c r="B860" s="74"/>
    </row>
    <row r="861">
      <c r="B861" s="74"/>
    </row>
    <row r="862">
      <c r="B862" s="74"/>
    </row>
    <row r="863">
      <c r="B863" s="74"/>
    </row>
    <row r="864">
      <c r="B864" s="74"/>
    </row>
    <row r="865">
      <c r="B865" s="74"/>
    </row>
    <row r="866">
      <c r="B866" s="74"/>
    </row>
    <row r="867">
      <c r="B867" s="74"/>
    </row>
    <row r="868">
      <c r="B868" s="74"/>
    </row>
    <row r="869">
      <c r="B869" s="74"/>
    </row>
    <row r="870">
      <c r="B870" s="74"/>
    </row>
    <row r="871">
      <c r="B871" s="74"/>
    </row>
    <row r="872">
      <c r="B872" s="74"/>
    </row>
    <row r="873">
      <c r="B873" s="74"/>
    </row>
    <row r="874">
      <c r="B874" s="74"/>
    </row>
    <row r="875">
      <c r="B875" s="74"/>
    </row>
    <row r="876">
      <c r="B876" s="74"/>
    </row>
    <row r="877">
      <c r="B877" s="74"/>
    </row>
    <row r="878">
      <c r="B878" s="74"/>
    </row>
    <row r="879">
      <c r="B879" s="74"/>
    </row>
    <row r="880">
      <c r="B880" s="74"/>
    </row>
    <row r="881">
      <c r="B881" s="74"/>
    </row>
    <row r="882">
      <c r="B882" s="74"/>
    </row>
    <row r="883">
      <c r="B883" s="74"/>
    </row>
    <row r="884">
      <c r="B884" s="74"/>
    </row>
    <row r="885">
      <c r="B885" s="74"/>
    </row>
    <row r="886">
      <c r="B886" s="74"/>
    </row>
    <row r="887">
      <c r="B887" s="74"/>
    </row>
    <row r="888">
      <c r="B888" s="74"/>
    </row>
    <row r="889">
      <c r="B889" s="74"/>
    </row>
    <row r="890">
      <c r="B890" s="74"/>
    </row>
    <row r="891">
      <c r="B891" s="74"/>
    </row>
    <row r="892">
      <c r="B892" s="74"/>
    </row>
    <row r="893">
      <c r="B893" s="74"/>
    </row>
    <row r="894">
      <c r="B894" s="74"/>
    </row>
    <row r="895">
      <c r="B895" s="74"/>
    </row>
    <row r="896">
      <c r="B896" s="74"/>
    </row>
    <row r="897">
      <c r="B897" s="74"/>
    </row>
    <row r="898">
      <c r="B898" s="74"/>
    </row>
    <row r="899">
      <c r="B899" s="74"/>
    </row>
    <row r="900">
      <c r="B900" s="74"/>
    </row>
    <row r="901">
      <c r="B901" s="74"/>
    </row>
    <row r="902">
      <c r="B902" s="74"/>
    </row>
    <row r="903">
      <c r="B903" s="74"/>
    </row>
    <row r="904">
      <c r="B904" s="74"/>
    </row>
    <row r="905">
      <c r="B905" s="74"/>
    </row>
    <row r="906">
      <c r="B906" s="74"/>
    </row>
    <row r="907">
      <c r="B907" s="74"/>
    </row>
    <row r="908">
      <c r="B908" s="74"/>
    </row>
    <row r="909">
      <c r="B909" s="74"/>
    </row>
    <row r="910">
      <c r="B910" s="74"/>
    </row>
    <row r="911">
      <c r="B911" s="74"/>
    </row>
    <row r="912">
      <c r="B912" s="74"/>
    </row>
    <row r="913">
      <c r="B913" s="74"/>
    </row>
    <row r="914">
      <c r="B914" s="74"/>
    </row>
    <row r="915">
      <c r="B915" s="74"/>
    </row>
    <row r="916">
      <c r="B916" s="74"/>
    </row>
    <row r="917">
      <c r="B917" s="74"/>
    </row>
    <row r="918">
      <c r="B918" s="74"/>
    </row>
    <row r="919">
      <c r="B919" s="74"/>
    </row>
    <row r="920">
      <c r="B920" s="74"/>
    </row>
    <row r="921">
      <c r="B921" s="74"/>
    </row>
    <row r="922">
      <c r="B922" s="74"/>
    </row>
    <row r="923">
      <c r="B923" s="74"/>
    </row>
    <row r="924">
      <c r="B924" s="74"/>
    </row>
    <row r="925">
      <c r="B925" s="74"/>
    </row>
    <row r="926">
      <c r="B926" s="74"/>
    </row>
    <row r="927">
      <c r="B927" s="74"/>
    </row>
    <row r="928">
      <c r="B928" s="74"/>
    </row>
    <row r="929">
      <c r="B929" s="74"/>
    </row>
    <row r="930">
      <c r="B930" s="74"/>
    </row>
    <row r="931">
      <c r="B931" s="74"/>
    </row>
    <row r="932">
      <c r="B932" s="74"/>
    </row>
    <row r="933">
      <c r="B933" s="74"/>
    </row>
    <row r="934">
      <c r="B934" s="74"/>
    </row>
    <row r="935">
      <c r="B935" s="74"/>
    </row>
    <row r="936">
      <c r="B936" s="74"/>
    </row>
    <row r="937">
      <c r="B937" s="74"/>
    </row>
    <row r="938">
      <c r="B938" s="74"/>
    </row>
    <row r="939">
      <c r="B939" s="74"/>
    </row>
    <row r="940">
      <c r="B940" s="74"/>
    </row>
    <row r="941">
      <c r="B941" s="74"/>
    </row>
    <row r="942">
      <c r="B942" s="74"/>
    </row>
    <row r="943">
      <c r="B943" s="74"/>
    </row>
    <row r="944">
      <c r="B944" s="74"/>
    </row>
    <row r="945">
      <c r="B945" s="74"/>
    </row>
    <row r="946">
      <c r="B946" s="74"/>
    </row>
    <row r="947">
      <c r="B947" s="74"/>
    </row>
    <row r="948">
      <c r="B948" s="74"/>
    </row>
    <row r="949">
      <c r="B949" s="74"/>
    </row>
    <row r="950">
      <c r="B950" s="74"/>
    </row>
    <row r="951">
      <c r="B951" s="74"/>
    </row>
    <row r="952">
      <c r="B952" s="74"/>
    </row>
    <row r="953">
      <c r="B953" s="74"/>
    </row>
    <row r="954">
      <c r="B954" s="74"/>
    </row>
    <row r="955">
      <c r="B955" s="74"/>
    </row>
    <row r="956">
      <c r="B956" s="74"/>
    </row>
    <row r="957">
      <c r="B957" s="74"/>
    </row>
    <row r="958">
      <c r="B958" s="74"/>
    </row>
    <row r="959">
      <c r="B959" s="74"/>
    </row>
    <row r="960">
      <c r="B960" s="74"/>
    </row>
    <row r="961">
      <c r="B961" s="74"/>
    </row>
    <row r="962">
      <c r="B962" s="74"/>
    </row>
    <row r="963">
      <c r="B963" s="74"/>
    </row>
    <row r="964">
      <c r="B964" s="74"/>
    </row>
    <row r="965">
      <c r="B965" s="74"/>
    </row>
    <row r="966">
      <c r="B966" s="74"/>
    </row>
    <row r="967">
      <c r="B967" s="74"/>
    </row>
    <row r="968">
      <c r="B968" s="74"/>
    </row>
    <row r="969">
      <c r="B969" s="74"/>
    </row>
    <row r="970">
      <c r="B970" s="74"/>
    </row>
    <row r="971">
      <c r="B971" s="74"/>
    </row>
    <row r="972">
      <c r="B972" s="74"/>
    </row>
    <row r="973">
      <c r="B973" s="74"/>
    </row>
    <row r="974">
      <c r="B974" s="74"/>
    </row>
    <row r="975">
      <c r="B975" s="74"/>
    </row>
    <row r="976">
      <c r="B976" s="74"/>
    </row>
    <row r="977">
      <c r="B977" s="74"/>
    </row>
    <row r="978">
      <c r="B978" s="74"/>
    </row>
    <row r="979">
      <c r="B979" s="74"/>
    </row>
    <row r="980">
      <c r="B980" s="74"/>
    </row>
    <row r="981">
      <c r="B981" s="74"/>
    </row>
    <row r="982">
      <c r="B982" s="74"/>
    </row>
    <row r="983">
      <c r="B983" s="74"/>
    </row>
    <row r="984">
      <c r="B984" s="74"/>
    </row>
    <row r="985">
      <c r="B985" s="74"/>
    </row>
    <row r="986">
      <c r="B986" s="74"/>
    </row>
    <row r="987">
      <c r="B987" s="74"/>
    </row>
    <row r="988">
      <c r="B988" s="74"/>
    </row>
    <row r="989">
      <c r="B989" s="74"/>
    </row>
    <row r="990">
      <c r="B990" s="74"/>
    </row>
    <row r="991">
      <c r="B991" s="74"/>
    </row>
    <row r="992">
      <c r="B992" s="74"/>
    </row>
    <row r="993">
      <c r="B993" s="74"/>
    </row>
    <row r="994">
      <c r="B994" s="74"/>
    </row>
    <row r="995">
      <c r="B995" s="74"/>
    </row>
    <row r="996">
      <c r="B996" s="74"/>
    </row>
    <row r="997">
      <c r="B997" s="74"/>
    </row>
    <row r="998">
      <c r="B998" s="74"/>
    </row>
    <row r="999">
      <c r="B999" s="74"/>
    </row>
    <row r="1000">
      <c r="B1000" s="74"/>
    </row>
  </sheetData>
  <dataValidations>
    <dataValidation type="custom" allowBlank="1" showDropDown="1" sqref="D2:D9">
      <formula1>OR(TIMEVALUE(TEXT(D2, "hh:mm:ss"))=D2, AND(ISNUMBER(D2), LEFT(CELL("format", D2))="D"))</formula1>
    </dataValidation>
    <dataValidation type="list" allowBlank="1" showErrorMessage="1" sqref="A2:A9">
      <formula1>"Linkedin,Instagram,Facebook,Twitter(X),Youtube"</formula1>
    </dataValidation>
    <dataValidation type="custom" allowBlank="1" showDropDown="1" sqref="C2:C9">
      <formula1>OR(NOT(ISERROR(DATEVALUE(C2))), AND(ISNUMBER(C2), LEFT(CELL("format", C2))="D"))</formula1>
    </dataValidation>
    <dataValidation type="custom" allowBlank="1" showDropDown="1" sqref="O2:O9">
      <formula1>AND(ISNUMBER(O2),(NOT(OR(NOT(ISERROR(DATEVALUE(O2))), AND(ISNUMBER(O2), LEFT(CELL("format", O2))="D")))))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</row>
    <row r="2" ht="22.5" customHeight="1">
      <c r="A2" s="6" t="s">
        <v>28</v>
      </c>
      <c r="B2" s="9" t="s">
        <v>29</v>
      </c>
      <c r="C2" s="10">
        <v>46089.0</v>
      </c>
      <c r="D2" s="12">
        <v>0.3298611111111111</v>
      </c>
      <c r="E2" s="14" t="s">
        <v>30</v>
      </c>
      <c r="F2" s="15" t="s">
        <v>37</v>
      </c>
      <c r="G2" s="14" t="s">
        <v>35</v>
      </c>
      <c r="H2" s="18">
        <v>348.0</v>
      </c>
      <c r="I2" s="16">
        <v>0.0</v>
      </c>
      <c r="J2" s="16">
        <v>0.0</v>
      </c>
      <c r="K2" s="16">
        <v>12.0</v>
      </c>
      <c r="L2" s="16">
        <v>0.0</v>
      </c>
      <c r="M2" s="16">
        <f t="shared" ref="M2:M9" si="1">SUM(K2+J2+L2)</f>
        <v>12</v>
      </c>
      <c r="N2" s="20">
        <v>0.0345</v>
      </c>
      <c r="O2" s="21"/>
      <c r="P2" s="16">
        <v>0.0</v>
      </c>
      <c r="Q2" s="23"/>
    </row>
    <row r="3" ht="22.5" customHeight="1">
      <c r="A3" s="6" t="s">
        <v>28</v>
      </c>
      <c r="B3" s="26" t="s">
        <v>41</v>
      </c>
      <c r="C3" s="27">
        <v>46120.0</v>
      </c>
      <c r="D3" s="29">
        <v>0.33194444444444443</v>
      </c>
      <c r="E3" s="31" t="s">
        <v>30</v>
      </c>
      <c r="F3" s="32" t="s">
        <v>44</v>
      </c>
      <c r="G3" s="31" t="s">
        <v>35</v>
      </c>
      <c r="H3" s="35">
        <v>295.0</v>
      </c>
      <c r="I3" s="34">
        <v>0.0</v>
      </c>
      <c r="J3" s="34">
        <v>4.0</v>
      </c>
      <c r="K3" s="34">
        <v>11.0</v>
      </c>
      <c r="L3" s="34">
        <v>4.0</v>
      </c>
      <c r="M3" s="34">
        <f t="shared" si="1"/>
        <v>19</v>
      </c>
      <c r="N3" s="39">
        <v>0.061</v>
      </c>
      <c r="O3" s="40"/>
      <c r="P3" s="34">
        <v>0.0</v>
      </c>
      <c r="Q3" s="41"/>
    </row>
    <row r="4" ht="22.5" customHeight="1">
      <c r="A4" s="6" t="s">
        <v>28</v>
      </c>
      <c r="B4" s="9" t="s">
        <v>50</v>
      </c>
      <c r="C4" s="10">
        <v>46181.0</v>
      </c>
      <c r="D4" s="12">
        <v>0.33055555555555555</v>
      </c>
      <c r="E4" s="14" t="s">
        <v>52</v>
      </c>
      <c r="F4" s="14" t="s">
        <v>36</v>
      </c>
      <c r="G4" s="14" t="s">
        <v>35</v>
      </c>
      <c r="H4" s="18">
        <v>258.0</v>
      </c>
      <c r="I4" s="16">
        <v>0.0</v>
      </c>
      <c r="J4" s="16">
        <v>7.0</v>
      </c>
      <c r="K4" s="16">
        <v>17.0</v>
      </c>
      <c r="L4" s="16">
        <v>4.0</v>
      </c>
      <c r="M4" s="16">
        <f t="shared" si="1"/>
        <v>28</v>
      </c>
      <c r="N4" s="20">
        <v>0.1085</v>
      </c>
      <c r="O4" s="21"/>
      <c r="P4" s="16">
        <v>0.0</v>
      </c>
      <c r="Q4" s="23"/>
    </row>
    <row r="5" ht="22.5" customHeight="1">
      <c r="A5" s="6" t="s">
        <v>28</v>
      </c>
      <c r="B5" s="26" t="s">
        <v>55</v>
      </c>
      <c r="C5" s="27">
        <v>46211.0</v>
      </c>
      <c r="D5" s="29">
        <v>0.33194444444444443</v>
      </c>
      <c r="E5" s="31" t="s">
        <v>58</v>
      </c>
      <c r="F5" s="31" t="s">
        <v>59</v>
      </c>
      <c r="G5" s="31" t="s">
        <v>35</v>
      </c>
      <c r="H5" s="35">
        <v>141.0</v>
      </c>
      <c r="I5" s="34">
        <v>0.0</v>
      </c>
      <c r="J5" s="34">
        <v>2.0</v>
      </c>
      <c r="K5" s="34">
        <v>9.0</v>
      </c>
      <c r="L5" s="34">
        <v>5.0</v>
      </c>
      <c r="M5" s="34">
        <f t="shared" si="1"/>
        <v>16</v>
      </c>
      <c r="N5" s="39">
        <v>0.1135</v>
      </c>
      <c r="O5" s="40"/>
      <c r="P5" s="34">
        <v>0.0</v>
      </c>
      <c r="Q5" s="41"/>
    </row>
    <row r="6" ht="22.5" customHeight="1">
      <c r="A6" s="6" t="s">
        <v>28</v>
      </c>
      <c r="B6" s="9" t="s">
        <v>61</v>
      </c>
      <c r="C6" s="10">
        <v>46303.0</v>
      </c>
      <c r="D6" s="12">
        <v>0.33194444444444443</v>
      </c>
      <c r="E6" s="14" t="s">
        <v>64</v>
      </c>
      <c r="F6" s="15" t="s">
        <v>66</v>
      </c>
      <c r="G6" s="14" t="s">
        <v>35</v>
      </c>
      <c r="H6" s="18">
        <v>229.0</v>
      </c>
      <c r="I6" s="16">
        <v>0.0</v>
      </c>
      <c r="J6" s="16">
        <v>4.0</v>
      </c>
      <c r="K6" s="16">
        <v>23.0</v>
      </c>
      <c r="L6" s="16">
        <v>12.0</v>
      </c>
      <c r="M6" s="16">
        <f t="shared" si="1"/>
        <v>39</v>
      </c>
      <c r="N6" s="20">
        <v>0.1703</v>
      </c>
      <c r="O6" s="21"/>
      <c r="P6" s="16">
        <v>0.0</v>
      </c>
      <c r="Q6" s="23"/>
    </row>
    <row r="7" ht="22.5" customHeight="1">
      <c r="A7" s="6" t="s">
        <v>28</v>
      </c>
      <c r="B7" s="26" t="s">
        <v>72</v>
      </c>
      <c r="C7" s="27">
        <v>46334.0</v>
      </c>
      <c r="D7" s="29">
        <v>0.3326388888888889</v>
      </c>
      <c r="E7" s="31" t="s">
        <v>30</v>
      </c>
      <c r="F7" s="32" t="s">
        <v>44</v>
      </c>
      <c r="G7" s="31" t="s">
        <v>38</v>
      </c>
      <c r="H7" s="35">
        <v>131.0</v>
      </c>
      <c r="I7" s="34">
        <v>0.0</v>
      </c>
      <c r="J7" s="34">
        <v>0.0</v>
      </c>
      <c r="K7" s="34">
        <v>12.0</v>
      </c>
      <c r="L7" s="34">
        <v>4.0</v>
      </c>
      <c r="M7" s="34">
        <f t="shared" si="1"/>
        <v>16</v>
      </c>
      <c r="N7" s="39">
        <v>0.1221</v>
      </c>
      <c r="O7" s="40"/>
      <c r="P7" s="34">
        <v>0.0</v>
      </c>
      <c r="Q7" s="41"/>
    </row>
    <row r="8" ht="22.5" customHeight="1">
      <c r="A8" s="71" t="s">
        <v>28</v>
      </c>
      <c r="B8" s="44" t="s">
        <v>84</v>
      </c>
      <c r="C8" s="75">
        <v>46247.0</v>
      </c>
      <c r="D8" s="77">
        <v>0.33194444444444443</v>
      </c>
      <c r="E8" s="78" t="s">
        <v>30</v>
      </c>
      <c r="F8" s="47" t="s">
        <v>81</v>
      </c>
      <c r="G8" s="78" t="s">
        <v>82</v>
      </c>
      <c r="H8" s="79">
        <v>171.0</v>
      </c>
      <c r="I8" s="80">
        <v>0.0</v>
      </c>
      <c r="J8" s="80">
        <v>2.0</v>
      </c>
      <c r="K8" s="80">
        <v>11.0</v>
      </c>
      <c r="L8" s="80">
        <v>5.0</v>
      </c>
      <c r="M8" s="80">
        <f t="shared" si="1"/>
        <v>18</v>
      </c>
      <c r="N8" s="81">
        <v>0.1015</v>
      </c>
      <c r="O8" s="82"/>
      <c r="P8" s="80">
        <v>0.0</v>
      </c>
      <c r="Q8" s="51"/>
    </row>
    <row r="9">
      <c r="A9" s="83" t="s">
        <v>28</v>
      </c>
      <c r="B9" s="54" t="s">
        <v>90</v>
      </c>
      <c r="C9" s="84">
        <v>46251.0</v>
      </c>
      <c r="D9" s="85">
        <v>0.33194444444444443</v>
      </c>
      <c r="E9" s="67" t="s">
        <v>32</v>
      </c>
      <c r="F9" s="67" t="s">
        <v>77</v>
      </c>
      <c r="G9" s="67" t="s">
        <v>35</v>
      </c>
      <c r="H9" s="86">
        <v>89.0</v>
      </c>
      <c r="I9" s="86">
        <v>0.0</v>
      </c>
      <c r="J9" s="86">
        <v>3.0</v>
      </c>
      <c r="K9" s="86">
        <v>8.0</v>
      </c>
      <c r="L9" s="86">
        <v>4.0</v>
      </c>
      <c r="M9" s="86">
        <f t="shared" si="1"/>
        <v>15</v>
      </c>
      <c r="N9" s="87">
        <v>0.1685</v>
      </c>
      <c r="O9" s="67"/>
      <c r="P9" s="86">
        <v>0.0</v>
      </c>
      <c r="Q9" s="67"/>
    </row>
    <row r="10">
      <c r="B10" s="74"/>
    </row>
    <row r="11">
      <c r="B11" s="74"/>
    </row>
    <row r="12">
      <c r="B12" s="74"/>
    </row>
    <row r="13">
      <c r="B13" s="74"/>
    </row>
    <row r="14">
      <c r="B14" s="74"/>
    </row>
    <row r="15">
      <c r="B15" s="74"/>
    </row>
    <row r="16">
      <c r="B16" s="74"/>
    </row>
    <row r="17">
      <c r="B17" s="74"/>
    </row>
    <row r="18">
      <c r="B18" s="74"/>
    </row>
    <row r="19">
      <c r="B19" s="74"/>
    </row>
    <row r="20">
      <c r="B20" s="74"/>
    </row>
    <row r="21">
      <c r="B21" s="74"/>
    </row>
    <row r="22">
      <c r="B22" s="74"/>
    </row>
    <row r="23">
      <c r="B23" s="74"/>
    </row>
    <row r="24">
      <c r="B24" s="74"/>
    </row>
    <row r="25">
      <c r="B25" s="74"/>
    </row>
    <row r="26">
      <c r="B26" s="74"/>
    </row>
    <row r="27">
      <c r="B27" s="74"/>
    </row>
    <row r="28">
      <c r="B28" s="74"/>
    </row>
    <row r="29">
      <c r="B29" s="74"/>
    </row>
    <row r="30">
      <c r="B30" s="74"/>
    </row>
    <row r="31">
      <c r="B31" s="74"/>
    </row>
    <row r="32">
      <c r="B32" s="74"/>
    </row>
    <row r="33">
      <c r="B33" s="74"/>
    </row>
    <row r="34">
      <c r="B34" s="74"/>
    </row>
    <row r="35">
      <c r="B35" s="74"/>
    </row>
    <row r="36">
      <c r="B36" s="74"/>
    </row>
    <row r="37">
      <c r="B37" s="74"/>
    </row>
    <row r="38">
      <c r="B38" s="74"/>
    </row>
    <row r="39">
      <c r="B39" s="74"/>
    </row>
    <row r="40">
      <c r="B40" s="74"/>
    </row>
    <row r="41">
      <c r="B41" s="74"/>
    </row>
    <row r="42">
      <c r="B42" s="74"/>
    </row>
    <row r="43">
      <c r="B43" s="74"/>
    </row>
    <row r="44">
      <c r="B44" s="74"/>
    </row>
    <row r="45">
      <c r="B45" s="74"/>
    </row>
    <row r="46">
      <c r="B46" s="74"/>
    </row>
    <row r="47">
      <c r="B47" s="74"/>
    </row>
    <row r="48">
      <c r="B48" s="74"/>
    </row>
    <row r="49">
      <c r="B49" s="74"/>
    </row>
    <row r="50">
      <c r="B50" s="74"/>
    </row>
    <row r="51">
      <c r="B51" s="74"/>
    </row>
    <row r="52">
      <c r="B52" s="74"/>
    </row>
    <row r="53">
      <c r="B53" s="74"/>
    </row>
    <row r="54">
      <c r="B54" s="74"/>
    </row>
    <row r="55">
      <c r="B55" s="74"/>
    </row>
    <row r="56">
      <c r="B56" s="74"/>
    </row>
    <row r="57">
      <c r="B57" s="74"/>
    </row>
    <row r="58">
      <c r="B58" s="74"/>
    </row>
    <row r="59">
      <c r="B59" s="74"/>
    </row>
    <row r="60">
      <c r="B60" s="74"/>
    </row>
    <row r="61">
      <c r="B61" s="74"/>
    </row>
    <row r="62">
      <c r="B62" s="74"/>
    </row>
    <row r="63">
      <c r="B63" s="74"/>
    </row>
    <row r="64">
      <c r="B64" s="74"/>
    </row>
    <row r="65">
      <c r="B65" s="74"/>
    </row>
    <row r="66">
      <c r="B66" s="74"/>
    </row>
    <row r="67">
      <c r="B67" s="74"/>
    </row>
    <row r="68">
      <c r="B68" s="74"/>
    </row>
    <row r="69">
      <c r="B69" s="74"/>
    </row>
    <row r="70">
      <c r="B70" s="74"/>
    </row>
    <row r="71">
      <c r="B71" s="74"/>
    </row>
    <row r="72">
      <c r="B72" s="74"/>
    </row>
    <row r="73">
      <c r="B73" s="74"/>
    </row>
    <row r="74">
      <c r="B74" s="74"/>
    </row>
    <row r="75">
      <c r="B75" s="74"/>
    </row>
    <row r="76">
      <c r="B76" s="74"/>
    </row>
    <row r="77">
      <c r="B77" s="74"/>
    </row>
    <row r="78">
      <c r="B78" s="74"/>
    </row>
    <row r="79">
      <c r="B79" s="74"/>
    </row>
    <row r="80">
      <c r="B80" s="74"/>
    </row>
    <row r="81">
      <c r="B81" s="74"/>
    </row>
    <row r="82">
      <c r="B82" s="74"/>
    </row>
    <row r="83">
      <c r="B83" s="74"/>
    </row>
    <row r="84">
      <c r="B84" s="74"/>
    </row>
    <row r="85">
      <c r="B85" s="74"/>
    </row>
    <row r="86">
      <c r="B86" s="74"/>
    </row>
    <row r="87">
      <c r="B87" s="74"/>
    </row>
    <row r="88">
      <c r="B88" s="74"/>
    </row>
    <row r="89">
      <c r="B89" s="74"/>
    </row>
    <row r="90">
      <c r="B90" s="74"/>
    </row>
    <row r="91">
      <c r="B91" s="74"/>
    </row>
    <row r="92">
      <c r="B92" s="74"/>
    </row>
    <row r="93">
      <c r="B93" s="74"/>
    </row>
    <row r="94">
      <c r="B94" s="74"/>
    </row>
    <row r="95">
      <c r="B95" s="74"/>
    </row>
    <row r="96">
      <c r="B96" s="74"/>
    </row>
    <row r="97">
      <c r="B97" s="74"/>
    </row>
    <row r="98">
      <c r="B98" s="74"/>
    </row>
    <row r="99">
      <c r="B99" s="74"/>
    </row>
    <row r="100">
      <c r="B100" s="74"/>
    </row>
    <row r="101">
      <c r="B101" s="74"/>
    </row>
    <row r="102">
      <c r="B102" s="74"/>
    </row>
    <row r="103">
      <c r="B103" s="74"/>
    </row>
    <row r="104">
      <c r="B104" s="74"/>
    </row>
    <row r="105">
      <c r="B105" s="74"/>
    </row>
    <row r="106">
      <c r="B106" s="74"/>
    </row>
    <row r="107">
      <c r="B107" s="74"/>
    </row>
    <row r="108">
      <c r="B108" s="74"/>
    </row>
    <row r="109">
      <c r="B109" s="74"/>
    </row>
    <row r="110">
      <c r="B110" s="74"/>
    </row>
    <row r="111">
      <c r="B111" s="74"/>
    </row>
    <row r="112">
      <c r="B112" s="74"/>
    </row>
    <row r="113">
      <c r="B113" s="74"/>
    </row>
    <row r="114">
      <c r="B114" s="74"/>
    </row>
    <row r="115">
      <c r="B115" s="74"/>
    </row>
    <row r="116">
      <c r="B116" s="74"/>
    </row>
    <row r="117">
      <c r="B117" s="74"/>
    </row>
    <row r="118">
      <c r="B118" s="74"/>
    </row>
    <row r="119">
      <c r="B119" s="74"/>
    </row>
    <row r="120">
      <c r="B120" s="74"/>
    </row>
    <row r="121">
      <c r="B121" s="74"/>
    </row>
    <row r="122">
      <c r="B122" s="74"/>
    </row>
    <row r="123">
      <c r="B123" s="74"/>
    </row>
    <row r="124">
      <c r="B124" s="74"/>
    </row>
    <row r="125">
      <c r="B125" s="74"/>
    </row>
    <row r="126">
      <c r="B126" s="74"/>
    </row>
    <row r="127">
      <c r="B127" s="74"/>
    </row>
    <row r="128">
      <c r="B128" s="74"/>
    </row>
    <row r="129">
      <c r="B129" s="74"/>
    </row>
    <row r="130">
      <c r="B130" s="74"/>
    </row>
    <row r="131">
      <c r="B131" s="74"/>
    </row>
    <row r="132">
      <c r="B132" s="74"/>
    </row>
    <row r="133">
      <c r="B133" s="74"/>
    </row>
    <row r="134">
      <c r="B134" s="74"/>
    </row>
    <row r="135">
      <c r="B135" s="74"/>
    </row>
    <row r="136">
      <c r="B136" s="74"/>
    </row>
    <row r="137">
      <c r="B137" s="74"/>
    </row>
    <row r="138">
      <c r="B138" s="74"/>
    </row>
    <row r="139">
      <c r="B139" s="74"/>
    </row>
    <row r="140">
      <c r="B140" s="74"/>
    </row>
    <row r="141">
      <c r="B141" s="74"/>
    </row>
    <row r="142">
      <c r="B142" s="74"/>
    </row>
    <row r="143">
      <c r="B143" s="74"/>
    </row>
    <row r="144">
      <c r="B144" s="74"/>
    </row>
    <row r="145">
      <c r="B145" s="74"/>
    </row>
    <row r="146">
      <c r="B146" s="74"/>
    </row>
    <row r="147">
      <c r="B147" s="74"/>
    </row>
    <row r="148">
      <c r="B148" s="74"/>
    </row>
    <row r="149">
      <c r="B149" s="74"/>
    </row>
    <row r="150">
      <c r="B150" s="74"/>
    </row>
    <row r="151">
      <c r="B151" s="74"/>
    </row>
    <row r="152">
      <c r="B152" s="74"/>
    </row>
    <row r="153">
      <c r="B153" s="74"/>
    </row>
    <row r="154">
      <c r="B154" s="74"/>
    </row>
    <row r="155">
      <c r="B155" s="74"/>
    </row>
    <row r="156">
      <c r="B156" s="74"/>
    </row>
    <row r="157">
      <c r="B157" s="74"/>
    </row>
    <row r="158">
      <c r="B158" s="74"/>
    </row>
    <row r="159">
      <c r="B159" s="74"/>
    </row>
    <row r="160">
      <c r="B160" s="74"/>
    </row>
    <row r="161">
      <c r="B161" s="74"/>
    </row>
    <row r="162">
      <c r="B162" s="74"/>
    </row>
    <row r="163">
      <c r="B163" s="74"/>
    </row>
    <row r="164">
      <c r="B164" s="74"/>
    </row>
    <row r="165">
      <c r="B165" s="74"/>
    </row>
    <row r="166">
      <c r="B166" s="74"/>
    </row>
    <row r="167">
      <c r="B167" s="74"/>
    </row>
    <row r="168">
      <c r="B168" s="74"/>
    </row>
    <row r="169">
      <c r="B169" s="74"/>
    </row>
    <row r="170">
      <c r="B170" s="74"/>
    </row>
    <row r="171">
      <c r="B171" s="74"/>
    </row>
    <row r="172">
      <c r="B172" s="74"/>
    </row>
    <row r="173">
      <c r="B173" s="74"/>
    </row>
    <row r="174">
      <c r="B174" s="74"/>
    </row>
    <row r="175">
      <c r="B175" s="74"/>
    </row>
    <row r="176">
      <c r="B176" s="74"/>
    </row>
    <row r="177">
      <c r="B177" s="74"/>
    </row>
    <row r="178">
      <c r="B178" s="74"/>
    </row>
    <row r="179">
      <c r="B179" s="74"/>
    </row>
    <row r="180">
      <c r="B180" s="74"/>
    </row>
    <row r="181">
      <c r="B181" s="74"/>
    </row>
    <row r="182">
      <c r="B182" s="74"/>
    </row>
    <row r="183">
      <c r="B183" s="74"/>
    </row>
    <row r="184">
      <c r="B184" s="74"/>
    </row>
    <row r="185">
      <c r="B185" s="74"/>
    </row>
    <row r="186">
      <c r="B186" s="74"/>
    </row>
    <row r="187">
      <c r="B187" s="74"/>
    </row>
    <row r="188">
      <c r="B188" s="74"/>
    </row>
    <row r="189">
      <c r="B189" s="74"/>
    </row>
    <row r="190">
      <c r="B190" s="74"/>
    </row>
    <row r="191">
      <c r="B191" s="74"/>
    </row>
    <row r="192">
      <c r="B192" s="74"/>
    </row>
    <row r="193">
      <c r="B193" s="74"/>
    </row>
    <row r="194">
      <c r="B194" s="74"/>
    </row>
    <row r="195">
      <c r="B195" s="74"/>
    </row>
    <row r="196">
      <c r="B196" s="74"/>
    </row>
    <row r="197">
      <c r="B197" s="74"/>
    </row>
    <row r="198">
      <c r="B198" s="74"/>
    </row>
    <row r="199">
      <c r="B199" s="74"/>
    </row>
    <row r="200">
      <c r="B200" s="74"/>
    </row>
    <row r="201">
      <c r="B201" s="74"/>
    </row>
    <row r="202">
      <c r="B202" s="74"/>
    </row>
    <row r="203">
      <c r="B203" s="74"/>
    </row>
    <row r="204">
      <c r="B204" s="74"/>
    </row>
    <row r="205">
      <c r="B205" s="74"/>
    </row>
    <row r="206">
      <c r="B206" s="74"/>
    </row>
    <row r="207">
      <c r="B207" s="74"/>
    </row>
    <row r="208">
      <c r="B208" s="74"/>
    </row>
    <row r="209">
      <c r="B209" s="74"/>
    </row>
    <row r="210">
      <c r="B210" s="74"/>
    </row>
    <row r="211">
      <c r="B211" s="74"/>
    </row>
    <row r="212">
      <c r="B212" s="74"/>
    </row>
    <row r="213">
      <c r="B213" s="74"/>
    </row>
    <row r="214">
      <c r="B214" s="74"/>
    </row>
    <row r="215">
      <c r="B215" s="74"/>
    </row>
    <row r="216">
      <c r="B216" s="74"/>
    </row>
    <row r="217">
      <c r="B217" s="74"/>
    </row>
    <row r="218">
      <c r="B218" s="74"/>
    </row>
    <row r="219">
      <c r="B219" s="74"/>
    </row>
    <row r="220">
      <c r="B220" s="74"/>
    </row>
    <row r="221">
      <c r="B221" s="74"/>
    </row>
    <row r="222">
      <c r="B222" s="74"/>
    </row>
    <row r="223">
      <c r="B223" s="74"/>
    </row>
    <row r="224">
      <c r="B224" s="74"/>
    </row>
    <row r="225">
      <c r="B225" s="74"/>
    </row>
    <row r="226">
      <c r="B226" s="74"/>
    </row>
    <row r="227">
      <c r="B227" s="74"/>
    </row>
    <row r="228">
      <c r="B228" s="74"/>
    </row>
    <row r="229">
      <c r="B229" s="74"/>
    </row>
    <row r="230">
      <c r="B230" s="74"/>
    </row>
    <row r="231">
      <c r="B231" s="74"/>
    </row>
    <row r="232">
      <c r="B232" s="74"/>
    </row>
    <row r="233">
      <c r="B233" s="74"/>
    </row>
    <row r="234">
      <c r="B234" s="74"/>
    </row>
    <row r="235">
      <c r="B235" s="74"/>
    </row>
    <row r="236">
      <c r="B236" s="74"/>
    </row>
    <row r="237">
      <c r="B237" s="74"/>
    </row>
    <row r="238">
      <c r="B238" s="74"/>
    </row>
    <row r="239">
      <c r="B239" s="74"/>
    </row>
    <row r="240">
      <c r="B240" s="74"/>
    </row>
    <row r="241">
      <c r="B241" s="74"/>
    </row>
    <row r="242">
      <c r="B242" s="74"/>
    </row>
    <row r="243">
      <c r="B243" s="74"/>
    </row>
    <row r="244">
      <c r="B244" s="74"/>
    </row>
    <row r="245">
      <c r="B245" s="74"/>
    </row>
    <row r="246">
      <c r="B246" s="74"/>
    </row>
    <row r="247">
      <c r="B247" s="74"/>
    </row>
    <row r="248">
      <c r="B248" s="74"/>
    </row>
    <row r="249">
      <c r="B249" s="74"/>
    </row>
    <row r="250">
      <c r="B250" s="74"/>
    </row>
    <row r="251">
      <c r="B251" s="74"/>
    </row>
    <row r="252">
      <c r="B252" s="74"/>
    </row>
    <row r="253">
      <c r="B253" s="74"/>
    </row>
    <row r="254">
      <c r="B254" s="74"/>
    </row>
    <row r="255">
      <c r="B255" s="74"/>
    </row>
    <row r="256">
      <c r="B256" s="74"/>
    </row>
    <row r="257">
      <c r="B257" s="74"/>
    </row>
    <row r="258">
      <c r="B258" s="74"/>
    </row>
    <row r="259">
      <c r="B259" s="74"/>
    </row>
    <row r="260">
      <c r="B260" s="74"/>
    </row>
    <row r="261">
      <c r="B261" s="74"/>
    </row>
    <row r="262">
      <c r="B262" s="74"/>
    </row>
    <row r="263">
      <c r="B263" s="74"/>
    </row>
    <row r="264">
      <c r="B264" s="74"/>
    </row>
    <row r="265">
      <c r="B265" s="74"/>
    </row>
    <row r="266">
      <c r="B266" s="74"/>
    </row>
    <row r="267">
      <c r="B267" s="74"/>
    </row>
    <row r="268">
      <c r="B268" s="74"/>
    </row>
    <row r="269">
      <c r="B269" s="74"/>
    </row>
    <row r="270">
      <c r="B270" s="74"/>
    </row>
    <row r="271">
      <c r="B271" s="74"/>
    </row>
    <row r="272">
      <c r="B272" s="74"/>
    </row>
    <row r="273">
      <c r="B273" s="74"/>
    </row>
    <row r="274">
      <c r="B274" s="74"/>
    </row>
    <row r="275">
      <c r="B275" s="74"/>
    </row>
    <row r="276">
      <c r="B276" s="74"/>
    </row>
    <row r="277">
      <c r="B277" s="74"/>
    </row>
    <row r="278">
      <c r="B278" s="74"/>
    </row>
    <row r="279">
      <c r="B279" s="74"/>
    </row>
    <row r="280">
      <c r="B280" s="74"/>
    </row>
    <row r="281">
      <c r="B281" s="74"/>
    </row>
    <row r="282">
      <c r="B282" s="74"/>
    </row>
    <row r="283">
      <c r="B283" s="74"/>
    </row>
    <row r="284">
      <c r="B284" s="74"/>
    </row>
    <row r="285">
      <c r="B285" s="74"/>
    </row>
    <row r="286">
      <c r="B286" s="74"/>
    </row>
    <row r="287">
      <c r="B287" s="74"/>
    </row>
    <row r="288">
      <c r="B288" s="74"/>
    </row>
    <row r="289">
      <c r="B289" s="74"/>
    </row>
    <row r="290">
      <c r="B290" s="74"/>
    </row>
    <row r="291">
      <c r="B291" s="74"/>
    </row>
    <row r="292">
      <c r="B292" s="74"/>
    </row>
    <row r="293">
      <c r="B293" s="74"/>
    </row>
    <row r="294">
      <c r="B294" s="74"/>
    </row>
    <row r="295">
      <c r="B295" s="74"/>
    </row>
    <row r="296">
      <c r="B296" s="74"/>
    </row>
    <row r="297">
      <c r="B297" s="74"/>
    </row>
    <row r="298">
      <c r="B298" s="74"/>
    </row>
    <row r="299">
      <c r="B299" s="74"/>
    </row>
    <row r="300">
      <c r="B300" s="74"/>
    </row>
    <row r="301">
      <c r="B301" s="74"/>
    </row>
    <row r="302">
      <c r="B302" s="74"/>
    </row>
    <row r="303">
      <c r="B303" s="74"/>
    </row>
    <row r="304">
      <c r="B304" s="74"/>
    </row>
    <row r="305">
      <c r="B305" s="74"/>
    </row>
    <row r="306">
      <c r="B306" s="74"/>
    </row>
    <row r="307">
      <c r="B307" s="74"/>
    </row>
    <row r="308">
      <c r="B308" s="74"/>
    </row>
    <row r="309">
      <c r="B309" s="74"/>
    </row>
    <row r="310">
      <c r="B310" s="74"/>
    </row>
    <row r="311">
      <c r="B311" s="74"/>
    </row>
    <row r="312">
      <c r="B312" s="74"/>
    </row>
    <row r="313">
      <c r="B313" s="74"/>
    </row>
    <row r="314">
      <c r="B314" s="74"/>
    </row>
    <row r="315">
      <c r="B315" s="74"/>
    </row>
    <row r="316">
      <c r="B316" s="74"/>
    </row>
    <row r="317">
      <c r="B317" s="74"/>
    </row>
    <row r="318">
      <c r="B318" s="74"/>
    </row>
    <row r="319">
      <c r="B319" s="74"/>
    </row>
    <row r="320">
      <c r="B320" s="74"/>
    </row>
    <row r="321">
      <c r="B321" s="74"/>
    </row>
    <row r="322">
      <c r="B322" s="74"/>
    </row>
    <row r="323">
      <c r="B323" s="74"/>
    </row>
    <row r="324">
      <c r="B324" s="74"/>
    </row>
    <row r="325">
      <c r="B325" s="74"/>
    </row>
    <row r="326">
      <c r="B326" s="74"/>
    </row>
    <row r="327">
      <c r="B327" s="74"/>
    </row>
    <row r="328">
      <c r="B328" s="74"/>
    </row>
    <row r="329">
      <c r="B329" s="74"/>
    </row>
    <row r="330">
      <c r="B330" s="74"/>
    </row>
    <row r="331">
      <c r="B331" s="74"/>
    </row>
    <row r="332">
      <c r="B332" s="74"/>
    </row>
    <row r="333">
      <c r="B333" s="74"/>
    </row>
    <row r="334">
      <c r="B334" s="74"/>
    </row>
    <row r="335">
      <c r="B335" s="74"/>
    </row>
    <row r="336">
      <c r="B336" s="74"/>
    </row>
    <row r="337">
      <c r="B337" s="74"/>
    </row>
    <row r="338">
      <c r="B338" s="74"/>
    </row>
    <row r="339">
      <c r="B339" s="74"/>
    </row>
    <row r="340">
      <c r="B340" s="74"/>
    </row>
    <row r="341">
      <c r="B341" s="74"/>
    </row>
    <row r="342">
      <c r="B342" s="74"/>
    </row>
    <row r="343">
      <c r="B343" s="74"/>
    </row>
    <row r="344">
      <c r="B344" s="74"/>
    </row>
    <row r="345">
      <c r="B345" s="74"/>
    </row>
    <row r="346">
      <c r="B346" s="74"/>
    </row>
    <row r="347">
      <c r="B347" s="74"/>
    </row>
    <row r="348">
      <c r="B348" s="74"/>
    </row>
    <row r="349">
      <c r="B349" s="74"/>
    </row>
    <row r="350">
      <c r="B350" s="74"/>
    </row>
    <row r="351">
      <c r="B351" s="74"/>
    </row>
    <row r="352">
      <c r="B352" s="74"/>
    </row>
    <row r="353">
      <c r="B353" s="74"/>
    </row>
    <row r="354">
      <c r="B354" s="74"/>
    </row>
    <row r="355">
      <c r="B355" s="74"/>
    </row>
    <row r="356">
      <c r="B356" s="74"/>
    </row>
    <row r="357">
      <c r="B357" s="74"/>
    </row>
    <row r="358">
      <c r="B358" s="74"/>
    </row>
    <row r="359">
      <c r="B359" s="74"/>
    </row>
    <row r="360">
      <c r="B360" s="74"/>
    </row>
    <row r="361">
      <c r="B361" s="74"/>
    </row>
    <row r="362">
      <c r="B362" s="74"/>
    </row>
    <row r="363">
      <c r="B363" s="74"/>
    </row>
    <row r="364">
      <c r="B364" s="74"/>
    </row>
    <row r="365">
      <c r="B365" s="74"/>
    </row>
    <row r="366">
      <c r="B366" s="74"/>
    </row>
    <row r="367">
      <c r="B367" s="74"/>
    </row>
    <row r="368">
      <c r="B368" s="74"/>
    </row>
    <row r="369">
      <c r="B369" s="74"/>
    </row>
    <row r="370">
      <c r="B370" s="74"/>
    </row>
    <row r="371">
      <c r="B371" s="74"/>
    </row>
    <row r="372">
      <c r="B372" s="74"/>
    </row>
    <row r="373">
      <c r="B373" s="74"/>
    </row>
    <row r="374">
      <c r="B374" s="74"/>
    </row>
    <row r="375">
      <c r="B375" s="74"/>
    </row>
    <row r="376">
      <c r="B376" s="74"/>
    </row>
    <row r="377">
      <c r="B377" s="74"/>
    </row>
    <row r="378">
      <c r="B378" s="74"/>
    </row>
    <row r="379">
      <c r="B379" s="74"/>
    </row>
    <row r="380">
      <c r="B380" s="74"/>
    </row>
    <row r="381">
      <c r="B381" s="74"/>
    </row>
    <row r="382">
      <c r="B382" s="74"/>
    </row>
    <row r="383">
      <c r="B383" s="74"/>
    </row>
    <row r="384">
      <c r="B384" s="74"/>
    </row>
    <row r="385">
      <c r="B385" s="74"/>
    </row>
    <row r="386">
      <c r="B386" s="74"/>
    </row>
    <row r="387">
      <c r="B387" s="74"/>
    </row>
    <row r="388">
      <c r="B388" s="74"/>
    </row>
    <row r="389">
      <c r="B389" s="74"/>
    </row>
    <row r="390">
      <c r="B390" s="74"/>
    </row>
    <row r="391">
      <c r="B391" s="74"/>
    </row>
    <row r="392">
      <c r="B392" s="74"/>
    </row>
    <row r="393">
      <c r="B393" s="74"/>
    </row>
    <row r="394">
      <c r="B394" s="74"/>
    </row>
    <row r="395">
      <c r="B395" s="74"/>
    </row>
    <row r="396">
      <c r="B396" s="74"/>
    </row>
    <row r="397">
      <c r="B397" s="74"/>
    </row>
    <row r="398">
      <c r="B398" s="74"/>
    </row>
    <row r="399">
      <c r="B399" s="74"/>
    </row>
    <row r="400">
      <c r="B400" s="74"/>
    </row>
    <row r="401">
      <c r="B401" s="74"/>
    </row>
    <row r="402">
      <c r="B402" s="74"/>
    </row>
    <row r="403">
      <c r="B403" s="74"/>
    </row>
    <row r="404">
      <c r="B404" s="74"/>
    </row>
    <row r="405">
      <c r="B405" s="74"/>
    </row>
    <row r="406">
      <c r="B406" s="74"/>
    </row>
    <row r="407">
      <c r="B407" s="74"/>
    </row>
    <row r="408">
      <c r="B408" s="74"/>
    </row>
    <row r="409">
      <c r="B409" s="74"/>
    </row>
    <row r="410">
      <c r="B410" s="74"/>
    </row>
    <row r="411">
      <c r="B411" s="74"/>
    </row>
    <row r="412">
      <c r="B412" s="74"/>
    </row>
    <row r="413">
      <c r="B413" s="74"/>
    </row>
    <row r="414">
      <c r="B414" s="74"/>
    </row>
    <row r="415">
      <c r="B415" s="74"/>
    </row>
    <row r="416">
      <c r="B416" s="74"/>
    </row>
    <row r="417">
      <c r="B417" s="74"/>
    </row>
    <row r="418">
      <c r="B418" s="74"/>
    </row>
    <row r="419">
      <c r="B419" s="74"/>
    </row>
    <row r="420">
      <c r="B420" s="74"/>
    </row>
    <row r="421">
      <c r="B421" s="74"/>
    </row>
    <row r="422">
      <c r="B422" s="74"/>
    </row>
    <row r="423">
      <c r="B423" s="74"/>
    </row>
    <row r="424">
      <c r="B424" s="74"/>
    </row>
    <row r="425">
      <c r="B425" s="74"/>
    </row>
    <row r="426">
      <c r="B426" s="74"/>
    </row>
    <row r="427">
      <c r="B427" s="74"/>
    </row>
    <row r="428">
      <c r="B428" s="74"/>
    </row>
    <row r="429">
      <c r="B429" s="74"/>
    </row>
    <row r="430">
      <c r="B430" s="74"/>
    </row>
    <row r="431">
      <c r="B431" s="74"/>
    </row>
    <row r="432">
      <c r="B432" s="74"/>
    </row>
    <row r="433">
      <c r="B433" s="74"/>
    </row>
    <row r="434">
      <c r="B434" s="74"/>
    </row>
    <row r="435">
      <c r="B435" s="74"/>
    </row>
    <row r="436">
      <c r="B436" s="74"/>
    </row>
    <row r="437">
      <c r="B437" s="74"/>
    </row>
    <row r="438">
      <c r="B438" s="74"/>
    </row>
    <row r="439">
      <c r="B439" s="74"/>
    </row>
    <row r="440">
      <c r="B440" s="74"/>
    </row>
    <row r="441">
      <c r="B441" s="74"/>
    </row>
    <row r="442">
      <c r="B442" s="74"/>
    </row>
    <row r="443">
      <c r="B443" s="74"/>
    </row>
    <row r="444">
      <c r="B444" s="74"/>
    </row>
    <row r="445">
      <c r="B445" s="74"/>
    </row>
    <row r="446">
      <c r="B446" s="74"/>
    </row>
    <row r="447">
      <c r="B447" s="74"/>
    </row>
    <row r="448">
      <c r="B448" s="74"/>
    </row>
    <row r="449">
      <c r="B449" s="74"/>
    </row>
    <row r="450">
      <c r="B450" s="74"/>
    </row>
    <row r="451">
      <c r="B451" s="74"/>
    </row>
    <row r="452">
      <c r="B452" s="74"/>
    </row>
    <row r="453">
      <c r="B453" s="74"/>
    </row>
    <row r="454">
      <c r="B454" s="74"/>
    </row>
    <row r="455">
      <c r="B455" s="74"/>
    </row>
    <row r="456">
      <c r="B456" s="74"/>
    </row>
    <row r="457">
      <c r="B457" s="74"/>
    </row>
    <row r="458">
      <c r="B458" s="74"/>
    </row>
    <row r="459">
      <c r="B459" s="74"/>
    </row>
    <row r="460">
      <c r="B460" s="74"/>
    </row>
    <row r="461">
      <c r="B461" s="74"/>
    </row>
    <row r="462">
      <c r="B462" s="74"/>
    </row>
    <row r="463">
      <c r="B463" s="74"/>
    </row>
    <row r="464">
      <c r="B464" s="74"/>
    </row>
    <row r="465">
      <c r="B465" s="74"/>
    </row>
    <row r="466">
      <c r="B466" s="74"/>
    </row>
    <row r="467">
      <c r="B467" s="74"/>
    </row>
    <row r="468">
      <c r="B468" s="74"/>
    </row>
    <row r="469">
      <c r="B469" s="74"/>
    </row>
    <row r="470">
      <c r="B470" s="74"/>
    </row>
    <row r="471">
      <c r="B471" s="74"/>
    </row>
    <row r="472">
      <c r="B472" s="74"/>
    </row>
    <row r="473">
      <c r="B473" s="74"/>
    </row>
    <row r="474">
      <c r="B474" s="74"/>
    </row>
    <row r="475">
      <c r="B475" s="74"/>
    </row>
    <row r="476">
      <c r="B476" s="74"/>
    </row>
    <row r="477">
      <c r="B477" s="74"/>
    </row>
    <row r="478">
      <c r="B478" s="74"/>
    </row>
    <row r="479">
      <c r="B479" s="74"/>
    </row>
    <row r="480">
      <c r="B480" s="74"/>
    </row>
    <row r="481">
      <c r="B481" s="74"/>
    </row>
    <row r="482">
      <c r="B482" s="74"/>
    </row>
    <row r="483">
      <c r="B483" s="74"/>
    </row>
    <row r="484">
      <c r="B484" s="74"/>
    </row>
    <row r="485">
      <c r="B485" s="74"/>
    </row>
    <row r="486">
      <c r="B486" s="74"/>
    </row>
    <row r="487">
      <c r="B487" s="74"/>
    </row>
    <row r="488">
      <c r="B488" s="74"/>
    </row>
    <row r="489">
      <c r="B489" s="74"/>
    </row>
    <row r="490">
      <c r="B490" s="74"/>
    </row>
    <row r="491">
      <c r="B491" s="74"/>
    </row>
    <row r="492">
      <c r="B492" s="74"/>
    </row>
    <row r="493">
      <c r="B493" s="74"/>
    </row>
    <row r="494">
      <c r="B494" s="74"/>
    </row>
    <row r="495">
      <c r="B495" s="74"/>
    </row>
    <row r="496">
      <c r="B496" s="74"/>
    </row>
    <row r="497">
      <c r="B497" s="74"/>
    </row>
    <row r="498">
      <c r="B498" s="74"/>
    </row>
    <row r="499">
      <c r="B499" s="74"/>
    </row>
    <row r="500">
      <c r="B500" s="74"/>
    </row>
    <row r="501">
      <c r="B501" s="74"/>
    </row>
    <row r="502">
      <c r="B502" s="74"/>
    </row>
    <row r="503">
      <c r="B503" s="74"/>
    </row>
    <row r="504">
      <c r="B504" s="74"/>
    </row>
    <row r="505">
      <c r="B505" s="74"/>
    </row>
    <row r="506">
      <c r="B506" s="74"/>
    </row>
    <row r="507">
      <c r="B507" s="74"/>
    </row>
    <row r="508">
      <c r="B508" s="74"/>
    </row>
    <row r="509">
      <c r="B509" s="74"/>
    </row>
    <row r="510">
      <c r="B510" s="74"/>
    </row>
    <row r="511">
      <c r="B511" s="74"/>
    </row>
    <row r="512">
      <c r="B512" s="74"/>
    </row>
    <row r="513">
      <c r="B513" s="74"/>
    </row>
    <row r="514">
      <c r="B514" s="74"/>
    </row>
    <row r="515">
      <c r="B515" s="74"/>
    </row>
    <row r="516">
      <c r="B516" s="74"/>
    </row>
    <row r="517">
      <c r="B517" s="74"/>
    </row>
    <row r="518">
      <c r="B518" s="74"/>
    </row>
    <row r="519">
      <c r="B519" s="74"/>
    </row>
    <row r="520">
      <c r="B520" s="74"/>
    </row>
    <row r="521">
      <c r="B521" s="74"/>
    </row>
    <row r="522">
      <c r="B522" s="74"/>
    </row>
    <row r="523">
      <c r="B523" s="74"/>
    </row>
    <row r="524">
      <c r="B524" s="74"/>
    </row>
    <row r="525">
      <c r="B525" s="74"/>
    </row>
    <row r="526">
      <c r="B526" s="74"/>
    </row>
    <row r="527">
      <c r="B527" s="74"/>
    </row>
    <row r="528">
      <c r="B528" s="74"/>
    </row>
    <row r="529">
      <c r="B529" s="74"/>
    </row>
    <row r="530">
      <c r="B530" s="74"/>
    </row>
    <row r="531">
      <c r="B531" s="74"/>
    </row>
    <row r="532">
      <c r="B532" s="74"/>
    </row>
    <row r="533">
      <c r="B533" s="74"/>
    </row>
    <row r="534">
      <c r="B534" s="74"/>
    </row>
    <row r="535">
      <c r="B535" s="74"/>
    </row>
    <row r="536">
      <c r="B536" s="74"/>
    </row>
    <row r="537">
      <c r="B537" s="74"/>
    </row>
    <row r="538">
      <c r="B538" s="74"/>
    </row>
    <row r="539">
      <c r="B539" s="74"/>
    </row>
    <row r="540">
      <c r="B540" s="74"/>
    </row>
    <row r="541">
      <c r="B541" s="74"/>
    </row>
    <row r="542">
      <c r="B542" s="74"/>
    </row>
    <row r="543">
      <c r="B543" s="74"/>
    </row>
    <row r="544">
      <c r="B544" s="74"/>
    </row>
    <row r="545">
      <c r="B545" s="74"/>
    </row>
    <row r="546">
      <c r="B546" s="74"/>
    </row>
    <row r="547">
      <c r="B547" s="74"/>
    </row>
    <row r="548">
      <c r="B548" s="74"/>
    </row>
    <row r="549">
      <c r="B549" s="74"/>
    </row>
    <row r="550">
      <c r="B550" s="74"/>
    </row>
    <row r="551">
      <c r="B551" s="74"/>
    </row>
    <row r="552">
      <c r="B552" s="74"/>
    </row>
    <row r="553">
      <c r="B553" s="74"/>
    </row>
    <row r="554">
      <c r="B554" s="74"/>
    </row>
    <row r="555">
      <c r="B555" s="74"/>
    </row>
    <row r="556">
      <c r="B556" s="74"/>
    </row>
    <row r="557">
      <c r="B557" s="74"/>
    </row>
    <row r="558">
      <c r="B558" s="74"/>
    </row>
    <row r="559">
      <c r="B559" s="74"/>
    </row>
    <row r="560">
      <c r="B560" s="74"/>
    </row>
    <row r="561">
      <c r="B561" s="74"/>
    </row>
    <row r="562">
      <c r="B562" s="74"/>
    </row>
    <row r="563">
      <c r="B563" s="74"/>
    </row>
    <row r="564">
      <c r="B564" s="74"/>
    </row>
    <row r="565">
      <c r="B565" s="74"/>
    </row>
    <row r="566">
      <c r="B566" s="74"/>
    </row>
    <row r="567">
      <c r="B567" s="74"/>
    </row>
    <row r="568">
      <c r="B568" s="74"/>
    </row>
    <row r="569">
      <c r="B569" s="74"/>
    </row>
    <row r="570">
      <c r="B570" s="74"/>
    </row>
    <row r="571">
      <c r="B571" s="74"/>
    </row>
    <row r="572">
      <c r="B572" s="74"/>
    </row>
    <row r="573">
      <c r="B573" s="74"/>
    </row>
    <row r="574">
      <c r="B574" s="74"/>
    </row>
    <row r="575">
      <c r="B575" s="74"/>
    </row>
    <row r="576">
      <c r="B576" s="74"/>
    </row>
    <row r="577">
      <c r="B577" s="74"/>
    </row>
    <row r="578">
      <c r="B578" s="74"/>
    </row>
    <row r="579">
      <c r="B579" s="74"/>
    </row>
    <row r="580">
      <c r="B580" s="74"/>
    </row>
    <row r="581">
      <c r="B581" s="74"/>
    </row>
    <row r="582">
      <c r="B582" s="74"/>
    </row>
    <row r="583">
      <c r="B583" s="74"/>
    </row>
    <row r="584">
      <c r="B584" s="74"/>
    </row>
    <row r="585">
      <c r="B585" s="74"/>
    </row>
    <row r="586">
      <c r="B586" s="74"/>
    </row>
    <row r="587">
      <c r="B587" s="74"/>
    </row>
    <row r="588">
      <c r="B588" s="74"/>
    </row>
    <row r="589">
      <c r="B589" s="74"/>
    </row>
    <row r="590">
      <c r="B590" s="74"/>
    </row>
    <row r="591">
      <c r="B591" s="74"/>
    </row>
    <row r="592">
      <c r="B592" s="74"/>
    </row>
    <row r="593">
      <c r="B593" s="74"/>
    </row>
    <row r="594">
      <c r="B594" s="74"/>
    </row>
    <row r="595">
      <c r="B595" s="74"/>
    </row>
    <row r="596">
      <c r="B596" s="74"/>
    </row>
    <row r="597">
      <c r="B597" s="74"/>
    </row>
    <row r="598">
      <c r="B598" s="74"/>
    </row>
    <row r="599">
      <c r="B599" s="74"/>
    </row>
    <row r="600">
      <c r="B600" s="74"/>
    </row>
    <row r="601">
      <c r="B601" s="74"/>
    </row>
    <row r="602">
      <c r="B602" s="74"/>
    </row>
    <row r="603">
      <c r="B603" s="74"/>
    </row>
    <row r="604">
      <c r="B604" s="74"/>
    </row>
    <row r="605">
      <c r="B605" s="74"/>
    </row>
    <row r="606">
      <c r="B606" s="74"/>
    </row>
    <row r="607">
      <c r="B607" s="74"/>
    </row>
    <row r="608">
      <c r="B608" s="74"/>
    </row>
    <row r="609">
      <c r="B609" s="74"/>
    </row>
    <row r="610">
      <c r="B610" s="74"/>
    </row>
    <row r="611">
      <c r="B611" s="74"/>
    </row>
    <row r="612">
      <c r="B612" s="74"/>
    </row>
    <row r="613">
      <c r="B613" s="74"/>
    </row>
    <row r="614">
      <c r="B614" s="74"/>
    </row>
    <row r="615">
      <c r="B615" s="74"/>
    </row>
    <row r="616">
      <c r="B616" s="74"/>
    </row>
    <row r="617">
      <c r="B617" s="74"/>
    </row>
    <row r="618">
      <c r="B618" s="74"/>
    </row>
    <row r="619">
      <c r="B619" s="74"/>
    </row>
    <row r="620">
      <c r="B620" s="74"/>
    </row>
    <row r="621">
      <c r="B621" s="74"/>
    </row>
    <row r="622">
      <c r="B622" s="74"/>
    </row>
    <row r="623">
      <c r="B623" s="74"/>
    </row>
    <row r="624">
      <c r="B624" s="74"/>
    </row>
    <row r="625">
      <c r="B625" s="74"/>
    </row>
    <row r="626">
      <c r="B626" s="74"/>
    </row>
    <row r="627">
      <c r="B627" s="74"/>
    </row>
    <row r="628">
      <c r="B628" s="74"/>
    </row>
    <row r="629">
      <c r="B629" s="74"/>
    </row>
    <row r="630">
      <c r="B630" s="74"/>
    </row>
    <row r="631">
      <c r="B631" s="74"/>
    </row>
    <row r="632">
      <c r="B632" s="74"/>
    </row>
    <row r="633">
      <c r="B633" s="74"/>
    </row>
    <row r="634">
      <c r="B634" s="74"/>
    </row>
    <row r="635">
      <c r="B635" s="74"/>
    </row>
    <row r="636">
      <c r="B636" s="74"/>
    </row>
    <row r="637">
      <c r="B637" s="74"/>
    </row>
    <row r="638">
      <c r="B638" s="74"/>
    </row>
    <row r="639">
      <c r="B639" s="74"/>
    </row>
    <row r="640">
      <c r="B640" s="74"/>
    </row>
    <row r="641">
      <c r="B641" s="74"/>
    </row>
    <row r="642">
      <c r="B642" s="74"/>
    </row>
    <row r="643">
      <c r="B643" s="74"/>
    </row>
    <row r="644">
      <c r="B644" s="74"/>
    </row>
    <row r="645">
      <c r="B645" s="74"/>
    </row>
    <row r="646">
      <c r="B646" s="74"/>
    </row>
    <row r="647">
      <c r="B647" s="74"/>
    </row>
    <row r="648">
      <c r="B648" s="74"/>
    </row>
    <row r="649">
      <c r="B649" s="74"/>
    </row>
    <row r="650">
      <c r="B650" s="74"/>
    </row>
    <row r="651">
      <c r="B651" s="74"/>
    </row>
    <row r="652">
      <c r="B652" s="74"/>
    </row>
    <row r="653">
      <c r="B653" s="74"/>
    </row>
    <row r="654">
      <c r="B654" s="74"/>
    </row>
    <row r="655">
      <c r="B655" s="74"/>
    </row>
    <row r="656">
      <c r="B656" s="74"/>
    </row>
    <row r="657">
      <c r="B657" s="74"/>
    </row>
    <row r="658">
      <c r="B658" s="74"/>
    </row>
    <row r="659">
      <c r="B659" s="74"/>
    </row>
    <row r="660">
      <c r="B660" s="74"/>
    </row>
    <row r="661">
      <c r="B661" s="74"/>
    </row>
    <row r="662">
      <c r="B662" s="74"/>
    </row>
    <row r="663">
      <c r="B663" s="74"/>
    </row>
    <row r="664">
      <c r="B664" s="74"/>
    </row>
    <row r="665">
      <c r="B665" s="74"/>
    </row>
    <row r="666">
      <c r="B666" s="74"/>
    </row>
    <row r="667">
      <c r="B667" s="74"/>
    </row>
    <row r="668">
      <c r="B668" s="74"/>
    </row>
    <row r="669">
      <c r="B669" s="74"/>
    </row>
    <row r="670">
      <c r="B670" s="74"/>
    </row>
    <row r="671">
      <c r="B671" s="74"/>
    </row>
    <row r="672">
      <c r="B672" s="74"/>
    </row>
    <row r="673">
      <c r="B673" s="74"/>
    </row>
    <row r="674">
      <c r="B674" s="74"/>
    </row>
    <row r="675">
      <c r="B675" s="74"/>
    </row>
    <row r="676">
      <c r="B676" s="74"/>
    </row>
    <row r="677">
      <c r="B677" s="74"/>
    </row>
    <row r="678">
      <c r="B678" s="74"/>
    </row>
    <row r="679">
      <c r="B679" s="74"/>
    </row>
    <row r="680">
      <c r="B680" s="74"/>
    </row>
    <row r="681">
      <c r="B681" s="74"/>
    </row>
    <row r="682">
      <c r="B682" s="74"/>
    </row>
    <row r="683">
      <c r="B683" s="74"/>
    </row>
    <row r="684">
      <c r="B684" s="74"/>
    </row>
    <row r="685">
      <c r="B685" s="74"/>
    </row>
    <row r="686">
      <c r="B686" s="74"/>
    </row>
    <row r="687">
      <c r="B687" s="74"/>
    </row>
    <row r="688">
      <c r="B688" s="74"/>
    </row>
    <row r="689">
      <c r="B689" s="74"/>
    </row>
    <row r="690">
      <c r="B690" s="74"/>
    </row>
    <row r="691">
      <c r="B691" s="74"/>
    </row>
    <row r="692">
      <c r="B692" s="74"/>
    </row>
    <row r="693">
      <c r="B693" s="74"/>
    </row>
    <row r="694">
      <c r="B694" s="74"/>
    </row>
    <row r="695">
      <c r="B695" s="74"/>
    </row>
    <row r="696">
      <c r="B696" s="74"/>
    </row>
    <row r="697">
      <c r="B697" s="74"/>
    </row>
    <row r="698">
      <c r="B698" s="74"/>
    </row>
    <row r="699">
      <c r="B699" s="74"/>
    </row>
    <row r="700">
      <c r="B700" s="74"/>
    </row>
    <row r="701">
      <c r="B701" s="74"/>
    </row>
    <row r="702">
      <c r="B702" s="74"/>
    </row>
    <row r="703">
      <c r="B703" s="74"/>
    </row>
    <row r="704">
      <c r="B704" s="74"/>
    </row>
    <row r="705">
      <c r="B705" s="74"/>
    </row>
    <row r="706">
      <c r="B706" s="74"/>
    </row>
    <row r="707">
      <c r="B707" s="74"/>
    </row>
    <row r="708">
      <c r="B708" s="74"/>
    </row>
    <row r="709">
      <c r="B709" s="74"/>
    </row>
    <row r="710">
      <c r="B710" s="74"/>
    </row>
    <row r="711">
      <c r="B711" s="74"/>
    </row>
    <row r="712">
      <c r="B712" s="74"/>
    </row>
    <row r="713">
      <c r="B713" s="74"/>
    </row>
    <row r="714">
      <c r="B714" s="74"/>
    </row>
    <row r="715">
      <c r="B715" s="74"/>
    </row>
    <row r="716">
      <c r="B716" s="74"/>
    </row>
    <row r="717">
      <c r="B717" s="74"/>
    </row>
    <row r="718">
      <c r="B718" s="74"/>
    </row>
    <row r="719">
      <c r="B719" s="74"/>
    </row>
    <row r="720">
      <c r="B720" s="74"/>
    </row>
    <row r="721">
      <c r="B721" s="74"/>
    </row>
    <row r="722">
      <c r="B722" s="74"/>
    </row>
    <row r="723">
      <c r="B723" s="74"/>
    </row>
    <row r="724">
      <c r="B724" s="74"/>
    </row>
    <row r="725">
      <c r="B725" s="74"/>
    </row>
    <row r="726">
      <c r="B726" s="74"/>
    </row>
    <row r="727">
      <c r="B727" s="74"/>
    </row>
    <row r="728">
      <c r="B728" s="74"/>
    </row>
    <row r="729">
      <c r="B729" s="74"/>
    </row>
    <row r="730">
      <c r="B730" s="74"/>
    </row>
    <row r="731">
      <c r="B731" s="74"/>
    </row>
    <row r="732">
      <c r="B732" s="74"/>
    </row>
    <row r="733">
      <c r="B733" s="74"/>
    </row>
    <row r="734">
      <c r="B734" s="74"/>
    </row>
    <row r="735">
      <c r="B735" s="74"/>
    </row>
    <row r="736">
      <c r="B736" s="74"/>
    </row>
    <row r="737">
      <c r="B737" s="74"/>
    </row>
    <row r="738">
      <c r="B738" s="74"/>
    </row>
    <row r="739">
      <c r="B739" s="74"/>
    </row>
    <row r="740">
      <c r="B740" s="74"/>
    </row>
    <row r="741">
      <c r="B741" s="74"/>
    </row>
    <row r="742">
      <c r="B742" s="74"/>
    </row>
    <row r="743">
      <c r="B743" s="74"/>
    </row>
    <row r="744">
      <c r="B744" s="74"/>
    </row>
    <row r="745">
      <c r="B745" s="74"/>
    </row>
    <row r="746">
      <c r="B746" s="74"/>
    </row>
    <row r="747">
      <c r="B747" s="74"/>
    </row>
    <row r="748">
      <c r="B748" s="74"/>
    </row>
    <row r="749">
      <c r="B749" s="74"/>
    </row>
    <row r="750">
      <c r="B750" s="74"/>
    </row>
    <row r="751">
      <c r="B751" s="74"/>
    </row>
    <row r="752">
      <c r="B752" s="74"/>
    </row>
    <row r="753">
      <c r="B753" s="74"/>
    </row>
    <row r="754">
      <c r="B754" s="74"/>
    </row>
    <row r="755">
      <c r="B755" s="74"/>
    </row>
    <row r="756">
      <c r="B756" s="74"/>
    </row>
    <row r="757">
      <c r="B757" s="74"/>
    </row>
    <row r="758">
      <c r="B758" s="74"/>
    </row>
    <row r="759">
      <c r="B759" s="74"/>
    </row>
    <row r="760">
      <c r="B760" s="74"/>
    </row>
    <row r="761">
      <c r="B761" s="74"/>
    </row>
    <row r="762">
      <c r="B762" s="74"/>
    </row>
    <row r="763">
      <c r="B763" s="74"/>
    </row>
    <row r="764">
      <c r="B764" s="74"/>
    </row>
    <row r="765">
      <c r="B765" s="74"/>
    </row>
    <row r="766">
      <c r="B766" s="74"/>
    </row>
    <row r="767">
      <c r="B767" s="74"/>
    </row>
    <row r="768">
      <c r="B768" s="74"/>
    </row>
    <row r="769">
      <c r="B769" s="74"/>
    </row>
    <row r="770">
      <c r="B770" s="74"/>
    </row>
    <row r="771">
      <c r="B771" s="74"/>
    </row>
    <row r="772">
      <c r="B772" s="74"/>
    </row>
    <row r="773">
      <c r="B773" s="74"/>
    </row>
    <row r="774">
      <c r="B774" s="74"/>
    </row>
    <row r="775">
      <c r="B775" s="74"/>
    </row>
    <row r="776">
      <c r="B776" s="74"/>
    </row>
    <row r="777">
      <c r="B777" s="74"/>
    </row>
    <row r="778">
      <c r="B778" s="74"/>
    </row>
    <row r="779">
      <c r="B779" s="74"/>
    </row>
    <row r="780">
      <c r="B780" s="74"/>
    </row>
    <row r="781">
      <c r="B781" s="74"/>
    </row>
    <row r="782">
      <c r="B782" s="74"/>
    </row>
    <row r="783">
      <c r="B783" s="74"/>
    </row>
    <row r="784">
      <c r="B784" s="74"/>
    </row>
    <row r="785">
      <c r="B785" s="74"/>
    </row>
    <row r="786">
      <c r="B786" s="74"/>
    </row>
    <row r="787">
      <c r="B787" s="74"/>
    </row>
    <row r="788">
      <c r="B788" s="74"/>
    </row>
    <row r="789">
      <c r="B789" s="74"/>
    </row>
    <row r="790">
      <c r="B790" s="74"/>
    </row>
    <row r="791">
      <c r="B791" s="74"/>
    </row>
    <row r="792">
      <c r="B792" s="74"/>
    </row>
    <row r="793">
      <c r="B793" s="74"/>
    </row>
    <row r="794">
      <c r="B794" s="74"/>
    </row>
    <row r="795">
      <c r="B795" s="74"/>
    </row>
    <row r="796">
      <c r="B796" s="74"/>
    </row>
    <row r="797">
      <c r="B797" s="74"/>
    </row>
    <row r="798">
      <c r="B798" s="74"/>
    </row>
    <row r="799">
      <c r="B799" s="74"/>
    </row>
    <row r="800">
      <c r="B800" s="74"/>
    </row>
    <row r="801">
      <c r="B801" s="74"/>
    </row>
    <row r="802">
      <c r="B802" s="74"/>
    </row>
    <row r="803">
      <c r="B803" s="74"/>
    </row>
    <row r="804">
      <c r="B804" s="74"/>
    </row>
    <row r="805">
      <c r="B805" s="74"/>
    </row>
    <row r="806">
      <c r="B806" s="74"/>
    </row>
    <row r="807">
      <c r="B807" s="74"/>
    </row>
    <row r="808">
      <c r="B808" s="74"/>
    </row>
    <row r="809">
      <c r="B809" s="74"/>
    </row>
    <row r="810">
      <c r="B810" s="74"/>
    </row>
    <row r="811">
      <c r="B811" s="74"/>
    </row>
    <row r="812">
      <c r="B812" s="74"/>
    </row>
    <row r="813">
      <c r="B813" s="74"/>
    </row>
    <row r="814">
      <c r="B814" s="74"/>
    </row>
    <row r="815">
      <c r="B815" s="74"/>
    </row>
    <row r="816">
      <c r="B816" s="74"/>
    </row>
    <row r="817">
      <c r="B817" s="74"/>
    </row>
    <row r="818">
      <c r="B818" s="74"/>
    </row>
    <row r="819">
      <c r="B819" s="74"/>
    </row>
    <row r="820">
      <c r="B820" s="74"/>
    </row>
    <row r="821">
      <c r="B821" s="74"/>
    </row>
    <row r="822">
      <c r="B822" s="74"/>
    </row>
    <row r="823">
      <c r="B823" s="74"/>
    </row>
    <row r="824">
      <c r="B824" s="74"/>
    </row>
    <row r="825">
      <c r="B825" s="74"/>
    </row>
    <row r="826">
      <c r="B826" s="74"/>
    </row>
    <row r="827">
      <c r="B827" s="74"/>
    </row>
    <row r="828">
      <c r="B828" s="74"/>
    </row>
    <row r="829">
      <c r="B829" s="74"/>
    </row>
    <row r="830">
      <c r="B830" s="74"/>
    </row>
    <row r="831">
      <c r="B831" s="74"/>
    </row>
    <row r="832">
      <c r="B832" s="74"/>
    </row>
    <row r="833">
      <c r="B833" s="74"/>
    </row>
    <row r="834">
      <c r="B834" s="74"/>
    </row>
    <row r="835">
      <c r="B835" s="74"/>
    </row>
    <row r="836">
      <c r="B836" s="74"/>
    </row>
    <row r="837">
      <c r="B837" s="74"/>
    </row>
    <row r="838">
      <c r="B838" s="74"/>
    </row>
    <row r="839">
      <c r="B839" s="74"/>
    </row>
    <row r="840">
      <c r="B840" s="74"/>
    </row>
    <row r="841">
      <c r="B841" s="74"/>
    </row>
    <row r="842">
      <c r="B842" s="74"/>
    </row>
    <row r="843">
      <c r="B843" s="74"/>
    </row>
    <row r="844">
      <c r="B844" s="74"/>
    </row>
    <row r="845">
      <c r="B845" s="74"/>
    </row>
    <row r="846">
      <c r="B846" s="74"/>
    </row>
    <row r="847">
      <c r="B847" s="74"/>
    </row>
    <row r="848">
      <c r="B848" s="74"/>
    </row>
    <row r="849">
      <c r="B849" s="74"/>
    </row>
    <row r="850">
      <c r="B850" s="74"/>
    </row>
    <row r="851">
      <c r="B851" s="74"/>
    </row>
    <row r="852">
      <c r="B852" s="74"/>
    </row>
    <row r="853">
      <c r="B853" s="74"/>
    </row>
    <row r="854">
      <c r="B854" s="74"/>
    </row>
    <row r="855">
      <c r="B855" s="74"/>
    </row>
    <row r="856">
      <c r="B856" s="74"/>
    </row>
    <row r="857">
      <c r="B857" s="74"/>
    </row>
    <row r="858">
      <c r="B858" s="74"/>
    </row>
    <row r="859">
      <c r="B859" s="74"/>
    </row>
    <row r="860">
      <c r="B860" s="74"/>
    </row>
    <row r="861">
      <c r="B861" s="74"/>
    </row>
    <row r="862">
      <c r="B862" s="74"/>
    </row>
    <row r="863">
      <c r="B863" s="74"/>
    </row>
    <row r="864">
      <c r="B864" s="74"/>
    </row>
    <row r="865">
      <c r="B865" s="74"/>
    </row>
    <row r="866">
      <c r="B866" s="74"/>
    </row>
    <row r="867">
      <c r="B867" s="74"/>
    </row>
    <row r="868">
      <c r="B868" s="74"/>
    </row>
    <row r="869">
      <c r="B869" s="74"/>
    </row>
    <row r="870">
      <c r="B870" s="74"/>
    </row>
    <row r="871">
      <c r="B871" s="74"/>
    </row>
    <row r="872">
      <c r="B872" s="74"/>
    </row>
    <row r="873">
      <c r="B873" s="74"/>
    </row>
    <row r="874">
      <c r="B874" s="74"/>
    </row>
    <row r="875">
      <c r="B875" s="74"/>
    </row>
    <row r="876">
      <c r="B876" s="74"/>
    </row>
    <row r="877">
      <c r="B877" s="74"/>
    </row>
    <row r="878">
      <c r="B878" s="74"/>
    </row>
    <row r="879">
      <c r="B879" s="74"/>
    </row>
    <row r="880">
      <c r="B880" s="74"/>
    </row>
    <row r="881">
      <c r="B881" s="74"/>
    </row>
    <row r="882">
      <c r="B882" s="74"/>
    </row>
    <row r="883">
      <c r="B883" s="74"/>
    </row>
    <row r="884">
      <c r="B884" s="74"/>
    </row>
    <row r="885">
      <c r="B885" s="74"/>
    </row>
    <row r="886">
      <c r="B886" s="74"/>
    </row>
    <row r="887">
      <c r="B887" s="74"/>
    </row>
    <row r="888">
      <c r="B888" s="74"/>
    </row>
    <row r="889">
      <c r="B889" s="74"/>
    </row>
    <row r="890">
      <c r="B890" s="74"/>
    </row>
    <row r="891">
      <c r="B891" s="74"/>
    </row>
    <row r="892">
      <c r="B892" s="74"/>
    </row>
    <row r="893">
      <c r="B893" s="74"/>
    </row>
    <row r="894">
      <c r="B894" s="74"/>
    </row>
    <row r="895">
      <c r="B895" s="74"/>
    </row>
    <row r="896">
      <c r="B896" s="74"/>
    </row>
    <row r="897">
      <c r="B897" s="74"/>
    </row>
    <row r="898">
      <c r="B898" s="74"/>
    </row>
    <row r="899">
      <c r="B899" s="74"/>
    </row>
    <row r="900">
      <c r="B900" s="74"/>
    </row>
    <row r="901">
      <c r="B901" s="74"/>
    </row>
    <row r="902">
      <c r="B902" s="74"/>
    </row>
    <row r="903">
      <c r="B903" s="74"/>
    </row>
    <row r="904">
      <c r="B904" s="74"/>
    </row>
    <row r="905">
      <c r="B905" s="74"/>
    </row>
    <row r="906">
      <c r="B906" s="74"/>
    </row>
    <row r="907">
      <c r="B907" s="74"/>
    </row>
    <row r="908">
      <c r="B908" s="74"/>
    </row>
    <row r="909">
      <c r="B909" s="74"/>
    </row>
    <row r="910">
      <c r="B910" s="74"/>
    </row>
    <row r="911">
      <c r="B911" s="74"/>
    </row>
    <row r="912">
      <c r="B912" s="74"/>
    </row>
    <row r="913">
      <c r="B913" s="74"/>
    </row>
    <row r="914">
      <c r="B914" s="74"/>
    </row>
    <row r="915">
      <c r="B915" s="74"/>
    </row>
    <row r="916">
      <c r="B916" s="74"/>
    </row>
    <row r="917">
      <c r="B917" s="74"/>
    </row>
    <row r="918">
      <c r="B918" s="74"/>
    </row>
    <row r="919">
      <c r="B919" s="74"/>
    </row>
    <row r="920">
      <c r="B920" s="74"/>
    </row>
    <row r="921">
      <c r="B921" s="74"/>
    </row>
    <row r="922">
      <c r="B922" s="74"/>
    </row>
    <row r="923">
      <c r="B923" s="74"/>
    </row>
    <row r="924">
      <c r="B924" s="74"/>
    </row>
    <row r="925">
      <c r="B925" s="74"/>
    </row>
    <row r="926">
      <c r="B926" s="74"/>
    </row>
    <row r="927">
      <c r="B927" s="74"/>
    </row>
    <row r="928">
      <c r="B928" s="74"/>
    </row>
    <row r="929">
      <c r="B929" s="74"/>
    </row>
    <row r="930">
      <c r="B930" s="74"/>
    </row>
    <row r="931">
      <c r="B931" s="74"/>
    </row>
    <row r="932">
      <c r="B932" s="74"/>
    </row>
    <row r="933">
      <c r="B933" s="74"/>
    </row>
    <row r="934">
      <c r="B934" s="74"/>
    </row>
    <row r="935">
      <c r="B935" s="74"/>
    </row>
    <row r="936">
      <c r="B936" s="74"/>
    </row>
    <row r="937">
      <c r="B937" s="74"/>
    </row>
    <row r="938">
      <c r="B938" s="74"/>
    </row>
    <row r="939">
      <c r="B939" s="74"/>
    </row>
    <row r="940">
      <c r="B940" s="74"/>
    </row>
    <row r="941">
      <c r="B941" s="74"/>
    </row>
    <row r="942">
      <c r="B942" s="74"/>
    </row>
    <row r="943">
      <c r="B943" s="74"/>
    </row>
    <row r="944">
      <c r="B944" s="74"/>
    </row>
    <row r="945">
      <c r="B945" s="74"/>
    </row>
    <row r="946">
      <c r="B946" s="74"/>
    </row>
    <row r="947">
      <c r="B947" s="74"/>
    </row>
    <row r="948">
      <c r="B948" s="74"/>
    </row>
    <row r="949">
      <c r="B949" s="74"/>
    </row>
    <row r="950">
      <c r="B950" s="74"/>
    </row>
    <row r="951">
      <c r="B951" s="74"/>
    </row>
    <row r="952">
      <c r="B952" s="74"/>
    </row>
    <row r="953">
      <c r="B953" s="74"/>
    </row>
    <row r="954">
      <c r="B954" s="74"/>
    </row>
    <row r="955">
      <c r="B955" s="74"/>
    </row>
    <row r="956">
      <c r="B956" s="74"/>
    </row>
    <row r="957">
      <c r="B957" s="74"/>
    </row>
    <row r="958">
      <c r="B958" s="74"/>
    </row>
    <row r="959">
      <c r="B959" s="74"/>
    </row>
    <row r="960">
      <c r="B960" s="74"/>
    </row>
    <row r="961">
      <c r="B961" s="74"/>
    </row>
    <row r="962">
      <c r="B962" s="74"/>
    </row>
    <row r="963">
      <c r="B963" s="74"/>
    </row>
    <row r="964">
      <c r="B964" s="74"/>
    </row>
    <row r="965">
      <c r="B965" s="74"/>
    </row>
    <row r="966">
      <c r="B966" s="74"/>
    </row>
    <row r="967">
      <c r="B967" s="74"/>
    </row>
    <row r="968">
      <c r="B968" s="74"/>
    </row>
    <row r="969">
      <c r="B969" s="74"/>
    </row>
    <row r="970">
      <c r="B970" s="74"/>
    </row>
    <row r="971">
      <c r="B971" s="74"/>
    </row>
    <row r="972">
      <c r="B972" s="74"/>
    </row>
    <row r="973">
      <c r="B973" s="74"/>
    </row>
    <row r="974">
      <c r="B974" s="74"/>
    </row>
    <row r="975">
      <c r="B975" s="74"/>
    </row>
    <row r="976">
      <c r="B976" s="74"/>
    </row>
    <row r="977">
      <c r="B977" s="74"/>
    </row>
    <row r="978">
      <c r="B978" s="74"/>
    </row>
    <row r="979">
      <c r="B979" s="74"/>
    </row>
    <row r="980">
      <c r="B980" s="74"/>
    </row>
    <row r="981">
      <c r="B981" s="74"/>
    </row>
    <row r="982">
      <c r="B982" s="74"/>
    </row>
    <row r="983">
      <c r="B983" s="74"/>
    </row>
    <row r="984">
      <c r="B984" s="74"/>
    </row>
    <row r="985">
      <c r="B985" s="74"/>
    </row>
    <row r="986">
      <c r="B986" s="74"/>
    </row>
    <row r="987">
      <c r="B987" s="74"/>
    </row>
    <row r="988">
      <c r="B988" s="74"/>
    </row>
    <row r="989">
      <c r="B989" s="74"/>
    </row>
    <row r="990">
      <c r="B990" s="74"/>
    </row>
    <row r="991">
      <c r="B991" s="74"/>
    </row>
    <row r="992">
      <c r="B992" s="74"/>
    </row>
    <row r="993">
      <c r="B993" s="74"/>
    </row>
    <row r="994">
      <c r="B994" s="74"/>
    </row>
    <row r="995">
      <c r="B995" s="74"/>
    </row>
    <row r="996">
      <c r="B996" s="74"/>
    </row>
    <row r="997">
      <c r="B997" s="74"/>
    </row>
    <row r="998">
      <c r="B998" s="74"/>
    </row>
    <row r="999">
      <c r="B999" s="74"/>
    </row>
    <row r="1000">
      <c r="B1000" s="74"/>
    </row>
  </sheetData>
  <dataValidations>
    <dataValidation type="custom" allowBlank="1" showDropDown="1" sqref="D2:D8">
      <formula1>OR(TIMEVALUE(TEXT(D2, "hh:mm:ss"))=D2, AND(ISNUMBER(D2), LEFT(CELL("format", D2))="D"))</formula1>
    </dataValidation>
    <dataValidation type="list" allowBlank="1" showErrorMessage="1" sqref="A2:A8">
      <formula1>"Linkedin,Instagram,Facebook,Twitter(X),Youtube"</formula1>
    </dataValidation>
    <dataValidation type="custom" allowBlank="1" showDropDown="1" sqref="C2:C8">
      <formula1>OR(NOT(ISERROR(DATEVALUE(C2))), AND(ISNUMBER(C2), LEFT(CELL("format", C2))="D"))</formula1>
    </dataValidation>
    <dataValidation type="custom" allowBlank="1" showDropDown="1" sqref="H2:H8">
      <formula1>AND(ISNUMBER(H2),(NOT(OR(NOT(ISERROR(DATEVALUE(H2))), AND(ISNUMBER(H2), LEFT(CELL("format", H2))="D")))))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  <tableParts count="1"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</row>
    <row r="2" ht="22.5" customHeight="1">
      <c r="A2" s="6" t="s">
        <v>26</v>
      </c>
      <c r="B2" s="9" t="s">
        <v>27</v>
      </c>
      <c r="C2" s="10">
        <v>46224.0</v>
      </c>
      <c r="D2" s="12">
        <v>0.3333333333333333</v>
      </c>
      <c r="E2" s="14" t="s">
        <v>32</v>
      </c>
      <c r="F2" s="15" t="s">
        <v>36</v>
      </c>
      <c r="G2" s="14" t="s">
        <v>38</v>
      </c>
      <c r="H2" s="16">
        <v>337.0</v>
      </c>
      <c r="I2" s="16">
        <v>0.0</v>
      </c>
      <c r="J2" s="16">
        <v>0.0</v>
      </c>
      <c r="K2" s="16">
        <v>6.0</v>
      </c>
      <c r="L2" s="16">
        <v>0.0</v>
      </c>
      <c r="M2" s="16">
        <f t="shared" ref="M2:M7" si="1">SUM(J2+K2+L2)</f>
        <v>6</v>
      </c>
      <c r="N2" s="20">
        <v>0.0178</v>
      </c>
      <c r="O2" s="21"/>
      <c r="P2" s="16">
        <v>0.0</v>
      </c>
      <c r="Q2" s="23"/>
    </row>
    <row r="3" ht="22.5" customHeight="1">
      <c r="A3" s="6" t="s">
        <v>26</v>
      </c>
      <c r="B3" s="26" t="s">
        <v>40</v>
      </c>
      <c r="C3" s="27">
        <v>46231.0</v>
      </c>
      <c r="D3" s="29">
        <v>0.3333333333333333</v>
      </c>
      <c r="E3" s="31" t="s">
        <v>30</v>
      </c>
      <c r="F3" s="32" t="s">
        <v>46</v>
      </c>
      <c r="G3" s="31" t="s">
        <v>47</v>
      </c>
      <c r="H3" s="34">
        <v>133.0</v>
      </c>
      <c r="I3" s="34">
        <v>0.0</v>
      </c>
      <c r="J3" s="34">
        <v>0.0</v>
      </c>
      <c r="K3" s="34">
        <v>8.0</v>
      </c>
      <c r="L3" s="34">
        <v>4.0</v>
      </c>
      <c r="M3" s="34">
        <f t="shared" si="1"/>
        <v>12</v>
      </c>
      <c r="N3" s="37">
        <v>0.0902</v>
      </c>
      <c r="O3" s="40"/>
      <c r="P3" s="34">
        <v>1.0</v>
      </c>
      <c r="Q3" s="41"/>
    </row>
    <row r="4" ht="22.5" customHeight="1">
      <c r="A4" s="6" t="s">
        <v>26</v>
      </c>
      <c r="B4" s="9" t="s">
        <v>49</v>
      </c>
      <c r="C4" s="10">
        <v>46232.0</v>
      </c>
      <c r="D4" s="12">
        <v>0.3333333333333333</v>
      </c>
      <c r="E4" s="14" t="s">
        <v>32</v>
      </c>
      <c r="F4" s="15" t="s">
        <v>53</v>
      </c>
      <c r="G4" s="14" t="s">
        <v>47</v>
      </c>
      <c r="H4" s="16">
        <v>120.0</v>
      </c>
      <c r="I4" s="16">
        <v>0.0</v>
      </c>
      <c r="J4" s="16">
        <v>0.0</v>
      </c>
      <c r="K4" s="16">
        <v>4.0</v>
      </c>
      <c r="L4" s="16">
        <v>0.0</v>
      </c>
      <c r="M4" s="16">
        <f t="shared" si="1"/>
        <v>4</v>
      </c>
      <c r="N4" s="20">
        <v>0.0333</v>
      </c>
      <c r="O4" s="21"/>
      <c r="P4" s="16">
        <v>1.0</v>
      </c>
      <c r="Q4" s="23"/>
    </row>
    <row r="5" ht="22.5" customHeight="1">
      <c r="A5" s="6" t="s">
        <v>26</v>
      </c>
      <c r="B5" s="26" t="s">
        <v>57</v>
      </c>
      <c r="C5" s="27">
        <v>46238.0</v>
      </c>
      <c r="D5" s="29">
        <v>0.3333333333333333</v>
      </c>
      <c r="E5" s="31" t="s">
        <v>30</v>
      </c>
      <c r="F5" s="32" t="s">
        <v>33</v>
      </c>
      <c r="G5" s="31" t="s">
        <v>47</v>
      </c>
      <c r="H5" s="34">
        <v>40.0</v>
      </c>
      <c r="I5" s="34">
        <v>1.0</v>
      </c>
      <c r="J5" s="34">
        <v>0.0</v>
      </c>
      <c r="K5" s="34">
        <v>7.0</v>
      </c>
      <c r="L5" s="34">
        <v>2.0</v>
      </c>
      <c r="M5" s="34">
        <f t="shared" si="1"/>
        <v>9</v>
      </c>
      <c r="N5" s="39">
        <v>0.225</v>
      </c>
      <c r="O5" s="40"/>
      <c r="P5" s="34">
        <v>0.0</v>
      </c>
      <c r="Q5" s="41"/>
    </row>
    <row r="6" ht="22.5" customHeight="1">
      <c r="A6" s="6" t="s">
        <v>26</v>
      </c>
      <c r="B6" s="9" t="s">
        <v>65</v>
      </c>
      <c r="C6" s="10">
        <v>46245.0</v>
      </c>
      <c r="D6" s="12">
        <v>0.3333333333333333</v>
      </c>
      <c r="E6" s="14" t="s">
        <v>67</v>
      </c>
      <c r="F6" s="15" t="s">
        <v>68</v>
      </c>
      <c r="G6" s="14" t="s">
        <v>38</v>
      </c>
      <c r="H6" s="16">
        <v>176.0</v>
      </c>
      <c r="I6" s="16">
        <v>0.0</v>
      </c>
      <c r="J6" s="16">
        <v>3.0</v>
      </c>
      <c r="K6" s="16">
        <v>32.0</v>
      </c>
      <c r="L6" s="16">
        <v>8.0</v>
      </c>
      <c r="M6" s="16">
        <f t="shared" si="1"/>
        <v>43</v>
      </c>
      <c r="N6" s="20">
        <v>0.2443</v>
      </c>
      <c r="O6" s="21"/>
      <c r="P6" s="16">
        <v>1.0</v>
      </c>
      <c r="Q6" s="23"/>
    </row>
    <row r="7" ht="22.5" customHeight="1">
      <c r="A7" s="53" t="s">
        <v>26</v>
      </c>
      <c r="B7" s="56" t="s">
        <v>74</v>
      </c>
      <c r="C7" s="60">
        <v>46251.0</v>
      </c>
      <c r="D7" s="61">
        <v>0.3333333333333333</v>
      </c>
      <c r="E7" s="63" t="s">
        <v>32</v>
      </c>
      <c r="F7" s="65" t="s">
        <v>77</v>
      </c>
      <c r="G7" s="63" t="s">
        <v>47</v>
      </c>
      <c r="H7" s="68">
        <v>40.0</v>
      </c>
      <c r="I7" s="68">
        <v>0.0</v>
      </c>
      <c r="J7" s="68">
        <v>0.0</v>
      </c>
      <c r="K7" s="68">
        <v>5.0</v>
      </c>
      <c r="L7" s="68">
        <v>0.0</v>
      </c>
      <c r="M7" s="68">
        <f t="shared" si="1"/>
        <v>5</v>
      </c>
      <c r="N7" s="70">
        <v>0.125</v>
      </c>
      <c r="O7" s="72"/>
      <c r="P7" s="68">
        <v>0.0</v>
      </c>
      <c r="Q7" s="73"/>
    </row>
    <row r="8">
      <c r="B8" s="74"/>
    </row>
    <row r="9">
      <c r="B9" s="74"/>
    </row>
    <row r="10">
      <c r="B10" s="74"/>
    </row>
    <row r="11">
      <c r="B11" s="74"/>
    </row>
    <row r="12">
      <c r="B12" s="74"/>
    </row>
    <row r="13">
      <c r="B13" s="74"/>
    </row>
    <row r="14">
      <c r="B14" s="74"/>
    </row>
    <row r="15">
      <c r="B15" s="74"/>
    </row>
    <row r="16">
      <c r="B16" s="74"/>
    </row>
    <row r="17">
      <c r="B17" s="74"/>
    </row>
    <row r="18">
      <c r="B18" s="74"/>
    </row>
    <row r="19">
      <c r="B19" s="74"/>
    </row>
    <row r="20">
      <c r="B20" s="74"/>
    </row>
    <row r="21">
      <c r="B21" s="74"/>
    </row>
    <row r="22">
      <c r="B22" s="74"/>
    </row>
    <row r="23">
      <c r="B23" s="74"/>
    </row>
    <row r="24">
      <c r="B24" s="74"/>
    </row>
    <row r="25">
      <c r="B25" s="74"/>
    </row>
    <row r="26">
      <c r="B26" s="74"/>
    </row>
    <row r="27">
      <c r="B27" s="74"/>
    </row>
    <row r="28">
      <c r="B28" s="74"/>
    </row>
    <row r="29">
      <c r="B29" s="74"/>
    </row>
    <row r="30">
      <c r="B30" s="74"/>
    </row>
    <row r="31">
      <c r="B31" s="74"/>
    </row>
    <row r="32">
      <c r="B32" s="74"/>
    </row>
    <row r="33">
      <c r="B33" s="74"/>
    </row>
    <row r="34">
      <c r="B34" s="74"/>
    </row>
    <row r="35">
      <c r="B35" s="74"/>
    </row>
    <row r="36">
      <c r="B36" s="74"/>
    </row>
    <row r="37">
      <c r="B37" s="74"/>
    </row>
    <row r="38">
      <c r="B38" s="74"/>
    </row>
    <row r="39">
      <c r="B39" s="74"/>
    </row>
    <row r="40">
      <c r="B40" s="74"/>
    </row>
    <row r="41">
      <c r="B41" s="74"/>
    </row>
    <row r="42">
      <c r="B42" s="74"/>
    </row>
    <row r="43">
      <c r="B43" s="74"/>
    </row>
    <row r="44">
      <c r="B44" s="74"/>
    </row>
    <row r="45">
      <c r="B45" s="74"/>
    </row>
    <row r="46">
      <c r="B46" s="74"/>
    </row>
    <row r="47">
      <c r="B47" s="74"/>
    </row>
    <row r="48">
      <c r="B48" s="74"/>
    </row>
    <row r="49">
      <c r="B49" s="74"/>
    </row>
    <row r="50">
      <c r="B50" s="74"/>
    </row>
    <row r="51">
      <c r="B51" s="74"/>
    </row>
    <row r="52">
      <c r="B52" s="74"/>
    </row>
    <row r="53">
      <c r="B53" s="74"/>
    </row>
    <row r="54">
      <c r="B54" s="74"/>
    </row>
    <row r="55">
      <c r="B55" s="74"/>
    </row>
    <row r="56">
      <c r="B56" s="74"/>
    </row>
    <row r="57">
      <c r="B57" s="74"/>
    </row>
    <row r="58">
      <c r="B58" s="74"/>
    </row>
    <row r="59">
      <c r="B59" s="74"/>
    </row>
    <row r="60">
      <c r="B60" s="74"/>
    </row>
    <row r="61">
      <c r="B61" s="74"/>
    </row>
    <row r="62">
      <c r="B62" s="74"/>
    </row>
    <row r="63">
      <c r="B63" s="74"/>
    </row>
    <row r="64">
      <c r="B64" s="74"/>
    </row>
    <row r="65">
      <c r="B65" s="74"/>
    </row>
    <row r="66">
      <c r="B66" s="74"/>
    </row>
    <row r="67">
      <c r="B67" s="74"/>
    </row>
    <row r="68">
      <c r="B68" s="74"/>
    </row>
    <row r="69">
      <c r="B69" s="74"/>
    </row>
    <row r="70">
      <c r="B70" s="74"/>
    </row>
    <row r="71">
      <c r="B71" s="74"/>
    </row>
    <row r="72">
      <c r="B72" s="74"/>
    </row>
    <row r="73">
      <c r="B73" s="74"/>
    </row>
    <row r="74">
      <c r="B74" s="74"/>
    </row>
    <row r="75">
      <c r="B75" s="74"/>
    </row>
    <row r="76">
      <c r="B76" s="74"/>
    </row>
    <row r="77">
      <c r="B77" s="74"/>
    </row>
    <row r="78">
      <c r="B78" s="74"/>
    </row>
    <row r="79">
      <c r="B79" s="74"/>
    </row>
    <row r="80">
      <c r="B80" s="74"/>
    </row>
    <row r="81">
      <c r="B81" s="74"/>
    </row>
    <row r="82">
      <c r="B82" s="74"/>
    </row>
    <row r="83">
      <c r="B83" s="74"/>
    </row>
    <row r="84">
      <c r="B84" s="74"/>
    </row>
    <row r="85">
      <c r="B85" s="74"/>
    </row>
    <row r="86">
      <c r="B86" s="74"/>
    </row>
    <row r="87">
      <c r="B87" s="74"/>
    </row>
    <row r="88">
      <c r="B88" s="74"/>
    </row>
    <row r="89">
      <c r="B89" s="74"/>
    </row>
    <row r="90">
      <c r="B90" s="74"/>
    </row>
    <row r="91">
      <c r="B91" s="74"/>
    </row>
    <row r="92">
      <c r="B92" s="74"/>
    </row>
    <row r="93">
      <c r="B93" s="74"/>
    </row>
    <row r="94">
      <c r="B94" s="74"/>
    </row>
    <row r="95">
      <c r="B95" s="74"/>
    </row>
    <row r="96">
      <c r="B96" s="74"/>
    </row>
    <row r="97">
      <c r="B97" s="74"/>
    </row>
    <row r="98">
      <c r="B98" s="74"/>
    </row>
    <row r="99">
      <c r="B99" s="74"/>
    </row>
    <row r="100">
      <c r="B100" s="74"/>
    </row>
    <row r="101">
      <c r="B101" s="74"/>
    </row>
    <row r="102">
      <c r="B102" s="74"/>
    </row>
    <row r="103">
      <c r="B103" s="74"/>
    </row>
    <row r="104">
      <c r="B104" s="74"/>
    </row>
    <row r="105">
      <c r="B105" s="74"/>
    </row>
    <row r="106">
      <c r="B106" s="74"/>
    </row>
    <row r="107">
      <c r="B107" s="74"/>
    </row>
    <row r="108">
      <c r="B108" s="74"/>
    </row>
    <row r="109">
      <c r="B109" s="74"/>
    </row>
    <row r="110">
      <c r="B110" s="74"/>
    </row>
    <row r="111">
      <c r="B111" s="74"/>
    </row>
    <row r="112">
      <c r="B112" s="74"/>
    </row>
    <row r="113">
      <c r="B113" s="74"/>
    </row>
    <row r="114">
      <c r="B114" s="74"/>
    </row>
    <row r="115">
      <c r="B115" s="74"/>
    </row>
    <row r="116">
      <c r="B116" s="74"/>
    </row>
    <row r="117">
      <c r="B117" s="74"/>
    </row>
    <row r="118">
      <c r="B118" s="74"/>
    </row>
    <row r="119">
      <c r="B119" s="74"/>
    </row>
    <row r="120">
      <c r="B120" s="74"/>
    </row>
    <row r="121">
      <c r="B121" s="74"/>
    </row>
    <row r="122">
      <c r="B122" s="74"/>
    </row>
    <row r="123">
      <c r="B123" s="74"/>
    </row>
    <row r="124">
      <c r="B124" s="74"/>
    </row>
    <row r="125">
      <c r="B125" s="74"/>
    </row>
    <row r="126">
      <c r="B126" s="74"/>
    </row>
    <row r="127">
      <c r="B127" s="74"/>
    </row>
    <row r="128">
      <c r="B128" s="74"/>
    </row>
    <row r="129">
      <c r="B129" s="74"/>
    </row>
    <row r="130">
      <c r="B130" s="74"/>
    </row>
    <row r="131">
      <c r="B131" s="74"/>
    </row>
    <row r="132">
      <c r="B132" s="74"/>
    </row>
    <row r="133">
      <c r="B133" s="74"/>
    </row>
    <row r="134">
      <c r="B134" s="74"/>
    </row>
    <row r="135">
      <c r="B135" s="74"/>
    </row>
    <row r="136">
      <c r="B136" s="74"/>
    </row>
    <row r="137">
      <c r="B137" s="74"/>
    </row>
    <row r="138">
      <c r="B138" s="74"/>
    </row>
    <row r="139">
      <c r="B139" s="74"/>
    </row>
    <row r="140">
      <c r="B140" s="74"/>
    </row>
    <row r="141">
      <c r="B141" s="74"/>
    </row>
    <row r="142">
      <c r="B142" s="74"/>
    </row>
    <row r="143">
      <c r="B143" s="74"/>
    </row>
    <row r="144">
      <c r="B144" s="74"/>
    </row>
    <row r="145">
      <c r="B145" s="74"/>
    </row>
    <row r="146">
      <c r="B146" s="74"/>
    </row>
    <row r="147">
      <c r="B147" s="74"/>
    </row>
    <row r="148">
      <c r="B148" s="74"/>
    </row>
    <row r="149">
      <c r="B149" s="74"/>
    </row>
    <row r="150">
      <c r="B150" s="74"/>
    </row>
    <row r="151">
      <c r="B151" s="74"/>
    </row>
    <row r="152">
      <c r="B152" s="74"/>
    </row>
    <row r="153">
      <c r="B153" s="74"/>
    </row>
    <row r="154">
      <c r="B154" s="74"/>
    </row>
    <row r="155">
      <c r="B155" s="74"/>
    </row>
    <row r="156">
      <c r="B156" s="74"/>
    </row>
    <row r="157">
      <c r="B157" s="74"/>
    </row>
    <row r="158">
      <c r="B158" s="74"/>
    </row>
    <row r="159">
      <c r="B159" s="74"/>
    </row>
    <row r="160">
      <c r="B160" s="74"/>
    </row>
    <row r="161">
      <c r="B161" s="74"/>
    </row>
    <row r="162">
      <c r="B162" s="74"/>
    </row>
    <row r="163">
      <c r="B163" s="74"/>
    </row>
    <row r="164">
      <c r="B164" s="74"/>
    </row>
    <row r="165">
      <c r="B165" s="74"/>
    </row>
    <row r="166">
      <c r="B166" s="74"/>
    </row>
    <row r="167">
      <c r="B167" s="74"/>
    </row>
    <row r="168">
      <c r="B168" s="74"/>
    </row>
    <row r="169">
      <c r="B169" s="74"/>
    </row>
    <row r="170">
      <c r="B170" s="74"/>
    </row>
    <row r="171">
      <c r="B171" s="74"/>
    </row>
    <row r="172">
      <c r="B172" s="74"/>
    </row>
    <row r="173">
      <c r="B173" s="74"/>
    </row>
    <row r="174">
      <c r="B174" s="74"/>
    </row>
    <row r="175">
      <c r="B175" s="74"/>
    </row>
    <row r="176">
      <c r="B176" s="74"/>
    </row>
    <row r="177">
      <c r="B177" s="74"/>
    </row>
    <row r="178">
      <c r="B178" s="74"/>
    </row>
    <row r="179">
      <c r="B179" s="74"/>
    </row>
    <row r="180">
      <c r="B180" s="74"/>
    </row>
    <row r="181">
      <c r="B181" s="74"/>
    </row>
    <row r="182">
      <c r="B182" s="74"/>
    </row>
    <row r="183">
      <c r="B183" s="74"/>
    </row>
    <row r="184">
      <c r="B184" s="74"/>
    </row>
    <row r="185">
      <c r="B185" s="74"/>
    </row>
    <row r="186">
      <c r="B186" s="74"/>
    </row>
    <row r="187">
      <c r="B187" s="74"/>
    </row>
    <row r="188">
      <c r="B188" s="74"/>
    </row>
    <row r="189">
      <c r="B189" s="74"/>
    </row>
    <row r="190">
      <c r="B190" s="74"/>
    </row>
    <row r="191">
      <c r="B191" s="74"/>
    </row>
    <row r="192">
      <c r="B192" s="74"/>
    </row>
    <row r="193">
      <c r="B193" s="74"/>
    </row>
    <row r="194">
      <c r="B194" s="74"/>
    </row>
    <row r="195">
      <c r="B195" s="74"/>
    </row>
    <row r="196">
      <c r="B196" s="74"/>
    </row>
    <row r="197">
      <c r="B197" s="74"/>
    </row>
    <row r="198">
      <c r="B198" s="74"/>
    </row>
    <row r="199">
      <c r="B199" s="74"/>
    </row>
    <row r="200">
      <c r="B200" s="74"/>
    </row>
    <row r="201">
      <c r="B201" s="74"/>
    </row>
    <row r="202">
      <c r="B202" s="74"/>
    </row>
    <row r="203">
      <c r="B203" s="74"/>
    </row>
    <row r="204">
      <c r="B204" s="74"/>
    </row>
    <row r="205">
      <c r="B205" s="74"/>
    </row>
    <row r="206">
      <c r="B206" s="74"/>
    </row>
    <row r="207">
      <c r="B207" s="74"/>
    </row>
    <row r="208">
      <c r="B208" s="74"/>
    </row>
    <row r="209">
      <c r="B209" s="74"/>
    </row>
    <row r="210">
      <c r="B210" s="74"/>
    </row>
    <row r="211">
      <c r="B211" s="74"/>
    </row>
    <row r="212">
      <c r="B212" s="74"/>
    </row>
    <row r="213">
      <c r="B213" s="74"/>
    </row>
    <row r="214">
      <c r="B214" s="74"/>
    </row>
    <row r="215">
      <c r="B215" s="74"/>
    </row>
    <row r="216">
      <c r="B216" s="74"/>
    </row>
    <row r="217">
      <c r="B217" s="74"/>
    </row>
    <row r="218">
      <c r="B218" s="74"/>
    </row>
    <row r="219">
      <c r="B219" s="74"/>
    </row>
    <row r="220">
      <c r="B220" s="74"/>
    </row>
    <row r="221">
      <c r="B221" s="74"/>
    </row>
    <row r="222">
      <c r="B222" s="74"/>
    </row>
    <row r="223">
      <c r="B223" s="74"/>
    </row>
    <row r="224">
      <c r="B224" s="74"/>
    </row>
    <row r="225">
      <c r="B225" s="74"/>
    </row>
    <row r="226">
      <c r="B226" s="74"/>
    </row>
    <row r="227">
      <c r="B227" s="74"/>
    </row>
    <row r="228">
      <c r="B228" s="74"/>
    </row>
    <row r="229">
      <c r="B229" s="74"/>
    </row>
    <row r="230">
      <c r="B230" s="74"/>
    </row>
    <row r="231">
      <c r="B231" s="74"/>
    </row>
    <row r="232">
      <c r="B232" s="74"/>
    </row>
    <row r="233">
      <c r="B233" s="74"/>
    </row>
    <row r="234">
      <c r="B234" s="74"/>
    </row>
    <row r="235">
      <c r="B235" s="74"/>
    </row>
    <row r="236">
      <c r="B236" s="74"/>
    </row>
    <row r="237">
      <c r="B237" s="74"/>
    </row>
    <row r="238">
      <c r="B238" s="74"/>
    </row>
    <row r="239">
      <c r="B239" s="74"/>
    </row>
    <row r="240">
      <c r="B240" s="74"/>
    </row>
    <row r="241">
      <c r="B241" s="74"/>
    </row>
    <row r="242">
      <c r="B242" s="74"/>
    </row>
    <row r="243">
      <c r="B243" s="74"/>
    </row>
    <row r="244">
      <c r="B244" s="74"/>
    </row>
    <row r="245">
      <c r="B245" s="74"/>
    </row>
    <row r="246">
      <c r="B246" s="74"/>
    </row>
    <row r="247">
      <c r="B247" s="74"/>
    </row>
    <row r="248">
      <c r="B248" s="74"/>
    </row>
    <row r="249">
      <c r="B249" s="74"/>
    </row>
    <row r="250">
      <c r="B250" s="74"/>
    </row>
    <row r="251">
      <c r="B251" s="74"/>
    </row>
    <row r="252">
      <c r="B252" s="74"/>
    </row>
    <row r="253">
      <c r="B253" s="74"/>
    </row>
    <row r="254">
      <c r="B254" s="74"/>
    </row>
    <row r="255">
      <c r="B255" s="74"/>
    </row>
    <row r="256">
      <c r="B256" s="74"/>
    </row>
    <row r="257">
      <c r="B257" s="74"/>
    </row>
    <row r="258">
      <c r="B258" s="74"/>
    </row>
    <row r="259">
      <c r="B259" s="74"/>
    </row>
    <row r="260">
      <c r="B260" s="74"/>
    </row>
    <row r="261">
      <c r="B261" s="74"/>
    </row>
    <row r="262">
      <c r="B262" s="74"/>
    </row>
    <row r="263">
      <c r="B263" s="74"/>
    </row>
    <row r="264">
      <c r="B264" s="74"/>
    </row>
    <row r="265">
      <c r="B265" s="74"/>
    </row>
    <row r="266">
      <c r="B266" s="74"/>
    </row>
    <row r="267">
      <c r="B267" s="74"/>
    </row>
    <row r="268">
      <c r="B268" s="74"/>
    </row>
    <row r="269">
      <c r="B269" s="74"/>
    </row>
    <row r="270">
      <c r="B270" s="74"/>
    </row>
    <row r="271">
      <c r="B271" s="74"/>
    </row>
    <row r="272">
      <c r="B272" s="74"/>
    </row>
    <row r="273">
      <c r="B273" s="74"/>
    </row>
    <row r="274">
      <c r="B274" s="74"/>
    </row>
    <row r="275">
      <c r="B275" s="74"/>
    </row>
    <row r="276">
      <c r="B276" s="74"/>
    </row>
    <row r="277">
      <c r="B277" s="74"/>
    </row>
    <row r="278">
      <c r="B278" s="74"/>
    </row>
    <row r="279">
      <c r="B279" s="74"/>
    </row>
    <row r="280">
      <c r="B280" s="74"/>
    </row>
    <row r="281">
      <c r="B281" s="74"/>
    </row>
    <row r="282">
      <c r="B282" s="74"/>
    </row>
    <row r="283">
      <c r="B283" s="74"/>
    </row>
    <row r="284">
      <c r="B284" s="74"/>
    </row>
    <row r="285">
      <c r="B285" s="74"/>
    </row>
    <row r="286">
      <c r="B286" s="74"/>
    </row>
    <row r="287">
      <c r="B287" s="74"/>
    </row>
    <row r="288">
      <c r="B288" s="74"/>
    </row>
    <row r="289">
      <c r="B289" s="74"/>
    </row>
    <row r="290">
      <c r="B290" s="74"/>
    </row>
    <row r="291">
      <c r="B291" s="74"/>
    </row>
    <row r="292">
      <c r="B292" s="74"/>
    </row>
    <row r="293">
      <c r="B293" s="74"/>
    </row>
    <row r="294">
      <c r="B294" s="74"/>
    </row>
    <row r="295">
      <c r="B295" s="74"/>
    </row>
    <row r="296">
      <c r="B296" s="74"/>
    </row>
    <row r="297">
      <c r="B297" s="74"/>
    </row>
    <row r="298">
      <c r="B298" s="74"/>
    </row>
    <row r="299">
      <c r="B299" s="74"/>
    </row>
    <row r="300">
      <c r="B300" s="74"/>
    </row>
    <row r="301">
      <c r="B301" s="74"/>
    </row>
    <row r="302">
      <c r="B302" s="74"/>
    </row>
    <row r="303">
      <c r="B303" s="74"/>
    </row>
    <row r="304">
      <c r="B304" s="74"/>
    </row>
    <row r="305">
      <c r="B305" s="74"/>
    </row>
    <row r="306">
      <c r="B306" s="74"/>
    </row>
    <row r="307">
      <c r="B307" s="74"/>
    </row>
    <row r="308">
      <c r="B308" s="74"/>
    </row>
    <row r="309">
      <c r="B309" s="74"/>
    </row>
    <row r="310">
      <c r="B310" s="74"/>
    </row>
    <row r="311">
      <c r="B311" s="74"/>
    </row>
    <row r="312">
      <c r="B312" s="74"/>
    </row>
    <row r="313">
      <c r="B313" s="74"/>
    </row>
    <row r="314">
      <c r="B314" s="74"/>
    </row>
    <row r="315">
      <c r="B315" s="74"/>
    </row>
    <row r="316">
      <c r="B316" s="74"/>
    </row>
    <row r="317">
      <c r="B317" s="74"/>
    </row>
    <row r="318">
      <c r="B318" s="74"/>
    </row>
    <row r="319">
      <c r="B319" s="74"/>
    </row>
    <row r="320">
      <c r="B320" s="74"/>
    </row>
    <row r="321">
      <c r="B321" s="74"/>
    </row>
    <row r="322">
      <c r="B322" s="74"/>
    </row>
    <row r="323">
      <c r="B323" s="74"/>
    </row>
    <row r="324">
      <c r="B324" s="74"/>
    </row>
    <row r="325">
      <c r="B325" s="74"/>
    </row>
    <row r="326">
      <c r="B326" s="74"/>
    </row>
    <row r="327">
      <c r="B327" s="74"/>
    </row>
    <row r="328">
      <c r="B328" s="74"/>
    </row>
    <row r="329">
      <c r="B329" s="74"/>
    </row>
    <row r="330">
      <c r="B330" s="74"/>
    </row>
    <row r="331">
      <c r="B331" s="74"/>
    </row>
    <row r="332">
      <c r="B332" s="74"/>
    </row>
    <row r="333">
      <c r="B333" s="74"/>
    </row>
    <row r="334">
      <c r="B334" s="74"/>
    </row>
    <row r="335">
      <c r="B335" s="74"/>
    </row>
    <row r="336">
      <c r="B336" s="74"/>
    </row>
    <row r="337">
      <c r="B337" s="74"/>
    </row>
    <row r="338">
      <c r="B338" s="74"/>
    </row>
    <row r="339">
      <c r="B339" s="74"/>
    </row>
    <row r="340">
      <c r="B340" s="74"/>
    </row>
    <row r="341">
      <c r="B341" s="74"/>
    </row>
    <row r="342">
      <c r="B342" s="74"/>
    </row>
    <row r="343">
      <c r="B343" s="74"/>
    </row>
    <row r="344">
      <c r="B344" s="74"/>
    </row>
    <row r="345">
      <c r="B345" s="74"/>
    </row>
    <row r="346">
      <c r="B346" s="74"/>
    </row>
    <row r="347">
      <c r="B347" s="74"/>
    </row>
    <row r="348">
      <c r="B348" s="74"/>
    </row>
    <row r="349">
      <c r="B349" s="74"/>
    </row>
    <row r="350">
      <c r="B350" s="74"/>
    </row>
    <row r="351">
      <c r="B351" s="74"/>
    </row>
    <row r="352">
      <c r="B352" s="74"/>
    </row>
    <row r="353">
      <c r="B353" s="74"/>
    </row>
    <row r="354">
      <c r="B354" s="74"/>
    </row>
    <row r="355">
      <c r="B355" s="74"/>
    </row>
    <row r="356">
      <c r="B356" s="74"/>
    </row>
    <row r="357">
      <c r="B357" s="74"/>
    </row>
    <row r="358">
      <c r="B358" s="74"/>
    </row>
    <row r="359">
      <c r="B359" s="74"/>
    </row>
    <row r="360">
      <c r="B360" s="74"/>
    </row>
    <row r="361">
      <c r="B361" s="74"/>
    </row>
    <row r="362">
      <c r="B362" s="74"/>
    </row>
    <row r="363">
      <c r="B363" s="74"/>
    </row>
    <row r="364">
      <c r="B364" s="74"/>
    </row>
    <row r="365">
      <c r="B365" s="74"/>
    </row>
    <row r="366">
      <c r="B366" s="74"/>
    </row>
    <row r="367">
      <c r="B367" s="74"/>
    </row>
    <row r="368">
      <c r="B368" s="74"/>
    </row>
    <row r="369">
      <c r="B369" s="74"/>
    </row>
    <row r="370">
      <c r="B370" s="74"/>
    </row>
    <row r="371">
      <c r="B371" s="74"/>
    </row>
    <row r="372">
      <c r="B372" s="74"/>
    </row>
    <row r="373">
      <c r="B373" s="74"/>
    </row>
    <row r="374">
      <c r="B374" s="74"/>
    </row>
    <row r="375">
      <c r="B375" s="74"/>
    </row>
    <row r="376">
      <c r="B376" s="74"/>
    </row>
    <row r="377">
      <c r="B377" s="74"/>
    </row>
    <row r="378">
      <c r="B378" s="74"/>
    </row>
    <row r="379">
      <c r="B379" s="74"/>
    </row>
    <row r="380">
      <c r="B380" s="74"/>
    </row>
    <row r="381">
      <c r="B381" s="74"/>
    </row>
    <row r="382">
      <c r="B382" s="74"/>
    </row>
    <row r="383">
      <c r="B383" s="74"/>
    </row>
    <row r="384">
      <c r="B384" s="74"/>
    </row>
    <row r="385">
      <c r="B385" s="74"/>
    </row>
    <row r="386">
      <c r="B386" s="74"/>
    </row>
    <row r="387">
      <c r="B387" s="74"/>
    </row>
    <row r="388">
      <c r="B388" s="74"/>
    </row>
    <row r="389">
      <c r="B389" s="74"/>
    </row>
    <row r="390">
      <c r="B390" s="74"/>
    </row>
    <row r="391">
      <c r="B391" s="74"/>
    </row>
    <row r="392">
      <c r="B392" s="74"/>
    </row>
    <row r="393">
      <c r="B393" s="74"/>
    </row>
    <row r="394">
      <c r="B394" s="74"/>
    </row>
    <row r="395">
      <c r="B395" s="74"/>
    </row>
    <row r="396">
      <c r="B396" s="74"/>
    </row>
    <row r="397">
      <c r="B397" s="74"/>
    </row>
    <row r="398">
      <c r="B398" s="74"/>
    </row>
    <row r="399">
      <c r="B399" s="74"/>
    </row>
    <row r="400">
      <c r="B400" s="74"/>
    </row>
    <row r="401">
      <c r="B401" s="74"/>
    </row>
    <row r="402">
      <c r="B402" s="74"/>
    </row>
    <row r="403">
      <c r="B403" s="74"/>
    </row>
    <row r="404">
      <c r="B404" s="74"/>
    </row>
    <row r="405">
      <c r="B405" s="74"/>
    </row>
    <row r="406">
      <c r="B406" s="74"/>
    </row>
    <row r="407">
      <c r="B407" s="74"/>
    </row>
    <row r="408">
      <c r="B408" s="74"/>
    </row>
    <row r="409">
      <c r="B409" s="74"/>
    </row>
    <row r="410">
      <c r="B410" s="74"/>
    </row>
    <row r="411">
      <c r="B411" s="74"/>
    </row>
    <row r="412">
      <c r="B412" s="74"/>
    </row>
    <row r="413">
      <c r="B413" s="74"/>
    </row>
    <row r="414">
      <c r="B414" s="74"/>
    </row>
    <row r="415">
      <c r="B415" s="74"/>
    </row>
    <row r="416">
      <c r="B416" s="74"/>
    </row>
    <row r="417">
      <c r="B417" s="74"/>
    </row>
    <row r="418">
      <c r="B418" s="74"/>
    </row>
    <row r="419">
      <c r="B419" s="74"/>
    </row>
    <row r="420">
      <c r="B420" s="74"/>
    </row>
    <row r="421">
      <c r="B421" s="74"/>
    </row>
    <row r="422">
      <c r="B422" s="74"/>
    </row>
    <row r="423">
      <c r="B423" s="74"/>
    </row>
    <row r="424">
      <c r="B424" s="74"/>
    </row>
    <row r="425">
      <c r="B425" s="74"/>
    </row>
    <row r="426">
      <c r="B426" s="74"/>
    </row>
    <row r="427">
      <c r="B427" s="74"/>
    </row>
    <row r="428">
      <c r="B428" s="74"/>
    </row>
    <row r="429">
      <c r="B429" s="74"/>
    </row>
    <row r="430">
      <c r="B430" s="74"/>
    </row>
    <row r="431">
      <c r="B431" s="74"/>
    </row>
    <row r="432">
      <c r="B432" s="74"/>
    </row>
    <row r="433">
      <c r="B433" s="74"/>
    </row>
    <row r="434">
      <c r="B434" s="74"/>
    </row>
    <row r="435">
      <c r="B435" s="74"/>
    </row>
    <row r="436">
      <c r="B436" s="74"/>
    </row>
    <row r="437">
      <c r="B437" s="74"/>
    </row>
    <row r="438">
      <c r="B438" s="74"/>
    </row>
    <row r="439">
      <c r="B439" s="74"/>
    </row>
    <row r="440">
      <c r="B440" s="74"/>
    </row>
    <row r="441">
      <c r="B441" s="74"/>
    </row>
    <row r="442">
      <c r="B442" s="74"/>
    </row>
    <row r="443">
      <c r="B443" s="74"/>
    </row>
    <row r="444">
      <c r="B444" s="74"/>
    </row>
    <row r="445">
      <c r="B445" s="74"/>
    </row>
    <row r="446">
      <c r="B446" s="74"/>
    </row>
    <row r="447">
      <c r="B447" s="74"/>
    </row>
    <row r="448">
      <c r="B448" s="74"/>
    </row>
    <row r="449">
      <c r="B449" s="74"/>
    </row>
    <row r="450">
      <c r="B450" s="74"/>
    </row>
    <row r="451">
      <c r="B451" s="74"/>
    </row>
    <row r="452">
      <c r="B452" s="74"/>
    </row>
    <row r="453">
      <c r="B453" s="74"/>
    </row>
    <row r="454">
      <c r="B454" s="74"/>
    </row>
    <row r="455">
      <c r="B455" s="74"/>
    </row>
    <row r="456">
      <c r="B456" s="74"/>
    </row>
    <row r="457">
      <c r="B457" s="74"/>
    </row>
    <row r="458">
      <c r="B458" s="74"/>
    </row>
    <row r="459">
      <c r="B459" s="74"/>
    </row>
    <row r="460">
      <c r="B460" s="74"/>
    </row>
    <row r="461">
      <c r="B461" s="74"/>
    </row>
    <row r="462">
      <c r="B462" s="74"/>
    </row>
    <row r="463">
      <c r="B463" s="74"/>
    </row>
    <row r="464">
      <c r="B464" s="74"/>
    </row>
    <row r="465">
      <c r="B465" s="74"/>
    </row>
    <row r="466">
      <c r="B466" s="74"/>
    </row>
    <row r="467">
      <c r="B467" s="74"/>
    </row>
    <row r="468">
      <c r="B468" s="74"/>
    </row>
    <row r="469">
      <c r="B469" s="74"/>
    </row>
    <row r="470">
      <c r="B470" s="74"/>
    </row>
    <row r="471">
      <c r="B471" s="74"/>
    </row>
    <row r="472">
      <c r="B472" s="74"/>
    </row>
    <row r="473">
      <c r="B473" s="74"/>
    </row>
    <row r="474">
      <c r="B474" s="74"/>
    </row>
    <row r="475">
      <c r="B475" s="74"/>
    </row>
    <row r="476">
      <c r="B476" s="74"/>
    </row>
    <row r="477">
      <c r="B477" s="74"/>
    </row>
    <row r="478">
      <c r="B478" s="74"/>
    </row>
    <row r="479">
      <c r="B479" s="74"/>
    </row>
    <row r="480">
      <c r="B480" s="74"/>
    </row>
    <row r="481">
      <c r="B481" s="74"/>
    </row>
    <row r="482">
      <c r="B482" s="74"/>
    </row>
    <row r="483">
      <c r="B483" s="74"/>
    </row>
    <row r="484">
      <c r="B484" s="74"/>
    </row>
    <row r="485">
      <c r="B485" s="74"/>
    </row>
    <row r="486">
      <c r="B486" s="74"/>
    </row>
    <row r="487">
      <c r="B487" s="74"/>
    </row>
    <row r="488">
      <c r="B488" s="74"/>
    </row>
    <row r="489">
      <c r="B489" s="74"/>
    </row>
    <row r="490">
      <c r="B490" s="74"/>
    </row>
    <row r="491">
      <c r="B491" s="74"/>
    </row>
    <row r="492">
      <c r="B492" s="74"/>
    </row>
    <row r="493">
      <c r="B493" s="74"/>
    </row>
    <row r="494">
      <c r="B494" s="74"/>
    </row>
    <row r="495">
      <c r="B495" s="74"/>
    </row>
    <row r="496">
      <c r="B496" s="74"/>
    </row>
    <row r="497">
      <c r="B497" s="74"/>
    </row>
    <row r="498">
      <c r="B498" s="74"/>
    </row>
    <row r="499">
      <c r="B499" s="74"/>
    </row>
    <row r="500">
      <c r="B500" s="74"/>
    </row>
    <row r="501">
      <c r="B501" s="74"/>
    </row>
    <row r="502">
      <c r="B502" s="74"/>
    </row>
    <row r="503">
      <c r="B503" s="74"/>
    </row>
    <row r="504">
      <c r="B504" s="74"/>
    </row>
    <row r="505">
      <c r="B505" s="74"/>
    </row>
    <row r="506">
      <c r="B506" s="74"/>
    </row>
    <row r="507">
      <c r="B507" s="74"/>
    </row>
    <row r="508">
      <c r="B508" s="74"/>
    </row>
    <row r="509">
      <c r="B509" s="74"/>
    </row>
    <row r="510">
      <c r="B510" s="74"/>
    </row>
    <row r="511">
      <c r="B511" s="74"/>
    </row>
    <row r="512">
      <c r="B512" s="74"/>
    </row>
    <row r="513">
      <c r="B513" s="74"/>
    </row>
    <row r="514">
      <c r="B514" s="74"/>
    </row>
    <row r="515">
      <c r="B515" s="74"/>
    </row>
    <row r="516">
      <c r="B516" s="74"/>
    </row>
    <row r="517">
      <c r="B517" s="74"/>
    </row>
    <row r="518">
      <c r="B518" s="74"/>
    </row>
    <row r="519">
      <c r="B519" s="74"/>
    </row>
    <row r="520">
      <c r="B520" s="74"/>
    </row>
    <row r="521">
      <c r="B521" s="74"/>
    </row>
    <row r="522">
      <c r="B522" s="74"/>
    </row>
    <row r="523">
      <c r="B523" s="74"/>
    </row>
    <row r="524">
      <c r="B524" s="74"/>
    </row>
    <row r="525">
      <c r="B525" s="74"/>
    </row>
    <row r="526">
      <c r="B526" s="74"/>
    </row>
    <row r="527">
      <c r="B527" s="74"/>
    </row>
    <row r="528">
      <c r="B528" s="74"/>
    </row>
    <row r="529">
      <c r="B529" s="74"/>
    </row>
    <row r="530">
      <c r="B530" s="74"/>
    </row>
    <row r="531">
      <c r="B531" s="74"/>
    </row>
    <row r="532">
      <c r="B532" s="74"/>
    </row>
    <row r="533">
      <c r="B533" s="74"/>
    </row>
    <row r="534">
      <c r="B534" s="74"/>
    </row>
    <row r="535">
      <c r="B535" s="74"/>
    </row>
    <row r="536">
      <c r="B536" s="74"/>
    </row>
    <row r="537">
      <c r="B537" s="74"/>
    </row>
    <row r="538">
      <c r="B538" s="74"/>
    </row>
    <row r="539">
      <c r="B539" s="74"/>
    </row>
    <row r="540">
      <c r="B540" s="74"/>
    </row>
    <row r="541">
      <c r="B541" s="74"/>
    </row>
    <row r="542">
      <c r="B542" s="74"/>
    </row>
    <row r="543">
      <c r="B543" s="74"/>
    </row>
    <row r="544">
      <c r="B544" s="74"/>
    </row>
    <row r="545">
      <c r="B545" s="74"/>
    </row>
    <row r="546">
      <c r="B546" s="74"/>
    </row>
    <row r="547">
      <c r="B547" s="74"/>
    </row>
    <row r="548">
      <c r="B548" s="74"/>
    </row>
    <row r="549">
      <c r="B549" s="74"/>
    </row>
    <row r="550">
      <c r="B550" s="74"/>
    </row>
    <row r="551">
      <c r="B551" s="74"/>
    </row>
    <row r="552">
      <c r="B552" s="74"/>
    </row>
    <row r="553">
      <c r="B553" s="74"/>
    </row>
    <row r="554">
      <c r="B554" s="74"/>
    </row>
    <row r="555">
      <c r="B555" s="74"/>
    </row>
    <row r="556">
      <c r="B556" s="74"/>
    </row>
    <row r="557">
      <c r="B557" s="74"/>
    </row>
    <row r="558">
      <c r="B558" s="74"/>
    </row>
    <row r="559">
      <c r="B559" s="74"/>
    </row>
    <row r="560">
      <c r="B560" s="74"/>
    </row>
    <row r="561">
      <c r="B561" s="74"/>
    </row>
    <row r="562">
      <c r="B562" s="74"/>
    </row>
    <row r="563">
      <c r="B563" s="74"/>
    </row>
    <row r="564">
      <c r="B564" s="74"/>
    </row>
    <row r="565">
      <c r="B565" s="74"/>
    </row>
    <row r="566">
      <c r="B566" s="74"/>
    </row>
    <row r="567">
      <c r="B567" s="74"/>
    </row>
    <row r="568">
      <c r="B568" s="74"/>
    </row>
    <row r="569">
      <c r="B569" s="74"/>
    </row>
    <row r="570">
      <c r="B570" s="74"/>
    </row>
    <row r="571">
      <c r="B571" s="74"/>
    </row>
    <row r="572">
      <c r="B572" s="74"/>
    </row>
    <row r="573">
      <c r="B573" s="74"/>
    </row>
    <row r="574">
      <c r="B574" s="74"/>
    </row>
    <row r="575">
      <c r="B575" s="74"/>
    </row>
    <row r="576">
      <c r="B576" s="74"/>
    </row>
    <row r="577">
      <c r="B577" s="74"/>
    </row>
    <row r="578">
      <c r="B578" s="74"/>
    </row>
    <row r="579">
      <c r="B579" s="74"/>
    </row>
    <row r="580">
      <c r="B580" s="74"/>
    </row>
    <row r="581">
      <c r="B581" s="74"/>
    </row>
    <row r="582">
      <c r="B582" s="74"/>
    </row>
    <row r="583">
      <c r="B583" s="74"/>
    </row>
    <row r="584">
      <c r="B584" s="74"/>
    </row>
    <row r="585">
      <c r="B585" s="74"/>
    </row>
    <row r="586">
      <c r="B586" s="74"/>
    </row>
    <row r="587">
      <c r="B587" s="74"/>
    </row>
    <row r="588">
      <c r="B588" s="74"/>
    </row>
    <row r="589">
      <c r="B589" s="74"/>
    </row>
    <row r="590">
      <c r="B590" s="74"/>
    </row>
    <row r="591">
      <c r="B591" s="74"/>
    </row>
    <row r="592">
      <c r="B592" s="74"/>
    </row>
    <row r="593">
      <c r="B593" s="74"/>
    </row>
    <row r="594">
      <c r="B594" s="74"/>
    </row>
    <row r="595">
      <c r="B595" s="74"/>
    </row>
    <row r="596">
      <c r="B596" s="74"/>
    </row>
    <row r="597">
      <c r="B597" s="74"/>
    </row>
    <row r="598">
      <c r="B598" s="74"/>
    </row>
    <row r="599">
      <c r="B599" s="74"/>
    </row>
    <row r="600">
      <c r="B600" s="74"/>
    </row>
    <row r="601">
      <c r="B601" s="74"/>
    </row>
    <row r="602">
      <c r="B602" s="74"/>
    </row>
    <row r="603">
      <c r="B603" s="74"/>
    </row>
    <row r="604">
      <c r="B604" s="74"/>
    </row>
    <row r="605">
      <c r="B605" s="74"/>
    </row>
    <row r="606">
      <c r="B606" s="74"/>
    </row>
    <row r="607">
      <c r="B607" s="74"/>
    </row>
    <row r="608">
      <c r="B608" s="74"/>
    </row>
    <row r="609">
      <c r="B609" s="74"/>
    </row>
    <row r="610">
      <c r="B610" s="74"/>
    </row>
    <row r="611">
      <c r="B611" s="74"/>
    </row>
    <row r="612">
      <c r="B612" s="74"/>
    </row>
    <row r="613">
      <c r="B613" s="74"/>
    </row>
    <row r="614">
      <c r="B614" s="74"/>
    </row>
    <row r="615">
      <c r="B615" s="74"/>
    </row>
    <row r="616">
      <c r="B616" s="74"/>
    </row>
    <row r="617">
      <c r="B617" s="74"/>
    </row>
    <row r="618">
      <c r="B618" s="74"/>
    </row>
    <row r="619">
      <c r="B619" s="74"/>
    </row>
    <row r="620">
      <c r="B620" s="74"/>
    </row>
    <row r="621">
      <c r="B621" s="74"/>
    </row>
    <row r="622">
      <c r="B622" s="74"/>
    </row>
    <row r="623">
      <c r="B623" s="74"/>
    </row>
    <row r="624">
      <c r="B624" s="74"/>
    </row>
    <row r="625">
      <c r="B625" s="74"/>
    </row>
    <row r="626">
      <c r="B626" s="74"/>
    </row>
    <row r="627">
      <c r="B627" s="74"/>
    </row>
    <row r="628">
      <c r="B628" s="74"/>
    </row>
    <row r="629">
      <c r="B629" s="74"/>
    </row>
    <row r="630">
      <c r="B630" s="74"/>
    </row>
    <row r="631">
      <c r="B631" s="74"/>
    </row>
    <row r="632">
      <c r="B632" s="74"/>
    </row>
    <row r="633">
      <c r="B633" s="74"/>
    </row>
    <row r="634">
      <c r="B634" s="74"/>
    </row>
    <row r="635">
      <c r="B635" s="74"/>
    </row>
    <row r="636">
      <c r="B636" s="74"/>
    </row>
    <row r="637">
      <c r="B637" s="74"/>
    </row>
    <row r="638">
      <c r="B638" s="74"/>
    </row>
    <row r="639">
      <c r="B639" s="74"/>
    </row>
    <row r="640">
      <c r="B640" s="74"/>
    </row>
    <row r="641">
      <c r="B641" s="74"/>
    </row>
    <row r="642">
      <c r="B642" s="74"/>
    </row>
    <row r="643">
      <c r="B643" s="74"/>
    </row>
    <row r="644">
      <c r="B644" s="74"/>
    </row>
    <row r="645">
      <c r="B645" s="74"/>
    </row>
    <row r="646">
      <c r="B646" s="74"/>
    </row>
    <row r="647">
      <c r="B647" s="74"/>
    </row>
    <row r="648">
      <c r="B648" s="74"/>
    </row>
    <row r="649">
      <c r="B649" s="74"/>
    </row>
    <row r="650">
      <c r="B650" s="74"/>
    </row>
    <row r="651">
      <c r="B651" s="74"/>
    </row>
    <row r="652">
      <c r="B652" s="74"/>
    </row>
    <row r="653">
      <c r="B653" s="74"/>
    </row>
    <row r="654">
      <c r="B654" s="74"/>
    </row>
    <row r="655">
      <c r="B655" s="74"/>
    </row>
    <row r="656">
      <c r="B656" s="74"/>
    </row>
    <row r="657">
      <c r="B657" s="74"/>
    </row>
    <row r="658">
      <c r="B658" s="74"/>
    </row>
    <row r="659">
      <c r="B659" s="74"/>
    </row>
    <row r="660">
      <c r="B660" s="74"/>
    </row>
    <row r="661">
      <c r="B661" s="74"/>
    </row>
    <row r="662">
      <c r="B662" s="74"/>
    </row>
    <row r="663">
      <c r="B663" s="74"/>
    </row>
    <row r="664">
      <c r="B664" s="74"/>
    </row>
    <row r="665">
      <c r="B665" s="74"/>
    </row>
    <row r="666">
      <c r="B666" s="74"/>
    </row>
    <row r="667">
      <c r="B667" s="74"/>
    </row>
    <row r="668">
      <c r="B668" s="74"/>
    </row>
    <row r="669">
      <c r="B669" s="74"/>
    </row>
    <row r="670">
      <c r="B670" s="74"/>
    </row>
    <row r="671">
      <c r="B671" s="74"/>
    </row>
    <row r="672">
      <c r="B672" s="74"/>
    </row>
    <row r="673">
      <c r="B673" s="74"/>
    </row>
    <row r="674">
      <c r="B674" s="74"/>
    </row>
    <row r="675">
      <c r="B675" s="74"/>
    </row>
    <row r="676">
      <c r="B676" s="74"/>
    </row>
    <row r="677">
      <c r="B677" s="74"/>
    </row>
    <row r="678">
      <c r="B678" s="74"/>
    </row>
    <row r="679">
      <c r="B679" s="74"/>
    </row>
    <row r="680">
      <c r="B680" s="74"/>
    </row>
    <row r="681">
      <c r="B681" s="74"/>
    </row>
    <row r="682">
      <c r="B682" s="74"/>
    </row>
    <row r="683">
      <c r="B683" s="74"/>
    </row>
    <row r="684">
      <c r="B684" s="74"/>
    </row>
    <row r="685">
      <c r="B685" s="74"/>
    </row>
    <row r="686">
      <c r="B686" s="74"/>
    </row>
    <row r="687">
      <c r="B687" s="74"/>
    </row>
    <row r="688">
      <c r="B688" s="74"/>
    </row>
    <row r="689">
      <c r="B689" s="74"/>
    </row>
    <row r="690">
      <c r="B690" s="74"/>
    </row>
    <row r="691">
      <c r="B691" s="74"/>
    </row>
    <row r="692">
      <c r="B692" s="74"/>
    </row>
    <row r="693">
      <c r="B693" s="74"/>
    </row>
    <row r="694">
      <c r="B694" s="74"/>
    </row>
    <row r="695">
      <c r="B695" s="74"/>
    </row>
    <row r="696">
      <c r="B696" s="74"/>
    </row>
    <row r="697">
      <c r="B697" s="74"/>
    </row>
    <row r="698">
      <c r="B698" s="74"/>
    </row>
    <row r="699">
      <c r="B699" s="74"/>
    </row>
    <row r="700">
      <c r="B700" s="74"/>
    </row>
    <row r="701">
      <c r="B701" s="74"/>
    </row>
    <row r="702">
      <c r="B702" s="74"/>
    </row>
    <row r="703">
      <c r="B703" s="74"/>
    </row>
    <row r="704">
      <c r="B704" s="74"/>
    </row>
    <row r="705">
      <c r="B705" s="74"/>
    </row>
    <row r="706">
      <c r="B706" s="74"/>
    </row>
    <row r="707">
      <c r="B707" s="74"/>
    </row>
    <row r="708">
      <c r="B708" s="74"/>
    </row>
    <row r="709">
      <c r="B709" s="74"/>
    </row>
    <row r="710">
      <c r="B710" s="74"/>
    </row>
    <row r="711">
      <c r="B711" s="74"/>
    </row>
    <row r="712">
      <c r="B712" s="74"/>
    </row>
    <row r="713">
      <c r="B713" s="74"/>
    </row>
    <row r="714">
      <c r="B714" s="74"/>
    </row>
    <row r="715">
      <c r="B715" s="74"/>
    </row>
    <row r="716">
      <c r="B716" s="74"/>
    </row>
    <row r="717">
      <c r="B717" s="74"/>
    </row>
    <row r="718">
      <c r="B718" s="74"/>
    </row>
    <row r="719">
      <c r="B719" s="74"/>
    </row>
    <row r="720">
      <c r="B720" s="74"/>
    </row>
    <row r="721">
      <c r="B721" s="74"/>
    </row>
    <row r="722">
      <c r="B722" s="74"/>
    </row>
    <row r="723">
      <c r="B723" s="74"/>
    </row>
    <row r="724">
      <c r="B724" s="74"/>
    </row>
    <row r="725">
      <c r="B725" s="74"/>
    </row>
    <row r="726">
      <c r="B726" s="74"/>
    </row>
    <row r="727">
      <c r="B727" s="74"/>
    </row>
    <row r="728">
      <c r="B728" s="74"/>
    </row>
    <row r="729">
      <c r="B729" s="74"/>
    </row>
    <row r="730">
      <c r="B730" s="74"/>
    </row>
    <row r="731">
      <c r="B731" s="74"/>
    </row>
    <row r="732">
      <c r="B732" s="74"/>
    </row>
    <row r="733">
      <c r="B733" s="74"/>
    </row>
    <row r="734">
      <c r="B734" s="74"/>
    </row>
    <row r="735">
      <c r="B735" s="74"/>
    </row>
    <row r="736">
      <c r="B736" s="74"/>
    </row>
    <row r="737">
      <c r="B737" s="74"/>
    </row>
    <row r="738">
      <c r="B738" s="74"/>
    </row>
    <row r="739">
      <c r="B739" s="74"/>
    </row>
    <row r="740">
      <c r="B740" s="74"/>
    </row>
    <row r="741">
      <c r="B741" s="74"/>
    </row>
    <row r="742">
      <c r="B742" s="74"/>
    </row>
    <row r="743">
      <c r="B743" s="74"/>
    </row>
    <row r="744">
      <c r="B744" s="74"/>
    </row>
    <row r="745">
      <c r="B745" s="74"/>
    </row>
    <row r="746">
      <c r="B746" s="74"/>
    </row>
    <row r="747">
      <c r="B747" s="74"/>
    </row>
    <row r="748">
      <c r="B748" s="74"/>
    </row>
    <row r="749">
      <c r="B749" s="74"/>
    </row>
    <row r="750">
      <c r="B750" s="74"/>
    </row>
    <row r="751">
      <c r="B751" s="74"/>
    </row>
    <row r="752">
      <c r="B752" s="74"/>
    </row>
    <row r="753">
      <c r="B753" s="74"/>
    </row>
    <row r="754">
      <c r="B754" s="74"/>
    </row>
    <row r="755">
      <c r="B755" s="74"/>
    </row>
    <row r="756">
      <c r="B756" s="74"/>
    </row>
    <row r="757">
      <c r="B757" s="74"/>
    </row>
    <row r="758">
      <c r="B758" s="74"/>
    </row>
    <row r="759">
      <c r="B759" s="74"/>
    </row>
    <row r="760">
      <c r="B760" s="74"/>
    </row>
    <row r="761">
      <c r="B761" s="74"/>
    </row>
    <row r="762">
      <c r="B762" s="74"/>
    </row>
    <row r="763">
      <c r="B763" s="74"/>
    </row>
    <row r="764">
      <c r="B764" s="74"/>
    </row>
    <row r="765">
      <c r="B765" s="74"/>
    </row>
    <row r="766">
      <c r="B766" s="74"/>
    </row>
    <row r="767">
      <c r="B767" s="74"/>
    </row>
    <row r="768">
      <c r="B768" s="74"/>
    </row>
    <row r="769">
      <c r="B769" s="74"/>
    </row>
    <row r="770">
      <c r="B770" s="74"/>
    </row>
    <row r="771">
      <c r="B771" s="74"/>
    </row>
    <row r="772">
      <c r="B772" s="74"/>
    </row>
    <row r="773">
      <c r="B773" s="74"/>
    </row>
    <row r="774">
      <c r="B774" s="74"/>
    </row>
    <row r="775">
      <c r="B775" s="74"/>
    </row>
    <row r="776">
      <c r="B776" s="74"/>
    </row>
    <row r="777">
      <c r="B777" s="74"/>
    </row>
    <row r="778">
      <c r="B778" s="74"/>
    </row>
    <row r="779">
      <c r="B779" s="74"/>
    </row>
    <row r="780">
      <c r="B780" s="74"/>
    </row>
    <row r="781">
      <c r="B781" s="74"/>
    </row>
    <row r="782">
      <c r="B782" s="74"/>
    </row>
    <row r="783">
      <c r="B783" s="74"/>
    </row>
    <row r="784">
      <c r="B784" s="74"/>
    </row>
    <row r="785">
      <c r="B785" s="74"/>
    </row>
    <row r="786">
      <c r="B786" s="74"/>
    </row>
    <row r="787">
      <c r="B787" s="74"/>
    </row>
    <row r="788">
      <c r="B788" s="74"/>
    </row>
    <row r="789">
      <c r="B789" s="74"/>
    </row>
    <row r="790">
      <c r="B790" s="74"/>
    </row>
    <row r="791">
      <c r="B791" s="74"/>
    </row>
    <row r="792">
      <c r="B792" s="74"/>
    </row>
    <row r="793">
      <c r="B793" s="74"/>
    </row>
    <row r="794">
      <c r="B794" s="74"/>
    </row>
    <row r="795">
      <c r="B795" s="74"/>
    </row>
    <row r="796">
      <c r="B796" s="74"/>
    </row>
    <row r="797">
      <c r="B797" s="74"/>
    </row>
    <row r="798">
      <c r="B798" s="74"/>
    </row>
    <row r="799">
      <c r="B799" s="74"/>
    </row>
    <row r="800">
      <c r="B800" s="74"/>
    </row>
    <row r="801">
      <c r="B801" s="74"/>
    </row>
    <row r="802">
      <c r="B802" s="74"/>
    </row>
    <row r="803">
      <c r="B803" s="74"/>
    </row>
    <row r="804">
      <c r="B804" s="74"/>
    </row>
    <row r="805">
      <c r="B805" s="74"/>
    </row>
    <row r="806">
      <c r="B806" s="74"/>
    </row>
    <row r="807">
      <c r="B807" s="74"/>
    </row>
    <row r="808">
      <c r="B808" s="74"/>
    </row>
    <row r="809">
      <c r="B809" s="74"/>
    </row>
    <row r="810">
      <c r="B810" s="74"/>
    </row>
    <row r="811">
      <c r="B811" s="74"/>
    </row>
    <row r="812">
      <c r="B812" s="74"/>
    </row>
    <row r="813">
      <c r="B813" s="74"/>
    </row>
    <row r="814">
      <c r="B814" s="74"/>
    </row>
    <row r="815">
      <c r="B815" s="74"/>
    </row>
    <row r="816">
      <c r="B816" s="74"/>
    </row>
    <row r="817">
      <c r="B817" s="74"/>
    </row>
    <row r="818">
      <c r="B818" s="74"/>
    </row>
    <row r="819">
      <c r="B819" s="74"/>
    </row>
    <row r="820">
      <c r="B820" s="74"/>
    </row>
    <row r="821">
      <c r="B821" s="74"/>
    </row>
    <row r="822">
      <c r="B822" s="74"/>
    </row>
    <row r="823">
      <c r="B823" s="74"/>
    </row>
    <row r="824">
      <c r="B824" s="74"/>
    </row>
    <row r="825">
      <c r="B825" s="74"/>
    </row>
    <row r="826">
      <c r="B826" s="74"/>
    </row>
    <row r="827">
      <c r="B827" s="74"/>
    </row>
    <row r="828">
      <c r="B828" s="74"/>
    </row>
    <row r="829">
      <c r="B829" s="74"/>
    </row>
    <row r="830">
      <c r="B830" s="74"/>
    </row>
    <row r="831">
      <c r="B831" s="74"/>
    </row>
    <row r="832">
      <c r="B832" s="74"/>
    </row>
    <row r="833">
      <c r="B833" s="74"/>
    </row>
    <row r="834">
      <c r="B834" s="74"/>
    </row>
    <row r="835">
      <c r="B835" s="74"/>
    </row>
    <row r="836">
      <c r="B836" s="74"/>
    </row>
    <row r="837">
      <c r="B837" s="74"/>
    </row>
    <row r="838">
      <c r="B838" s="74"/>
    </row>
    <row r="839">
      <c r="B839" s="74"/>
    </row>
    <row r="840">
      <c r="B840" s="74"/>
    </row>
    <row r="841">
      <c r="B841" s="74"/>
    </row>
    <row r="842">
      <c r="B842" s="74"/>
    </row>
    <row r="843">
      <c r="B843" s="74"/>
    </row>
    <row r="844">
      <c r="B844" s="74"/>
    </row>
    <row r="845">
      <c r="B845" s="74"/>
    </row>
    <row r="846">
      <c r="B846" s="74"/>
    </row>
    <row r="847">
      <c r="B847" s="74"/>
    </row>
    <row r="848">
      <c r="B848" s="74"/>
    </row>
    <row r="849">
      <c r="B849" s="74"/>
    </row>
    <row r="850">
      <c r="B850" s="74"/>
    </row>
    <row r="851">
      <c r="B851" s="74"/>
    </row>
    <row r="852">
      <c r="B852" s="74"/>
    </row>
    <row r="853">
      <c r="B853" s="74"/>
    </row>
    <row r="854">
      <c r="B854" s="74"/>
    </row>
    <row r="855">
      <c r="B855" s="74"/>
    </row>
    <row r="856">
      <c r="B856" s="74"/>
    </row>
    <row r="857">
      <c r="B857" s="74"/>
    </row>
    <row r="858">
      <c r="B858" s="74"/>
    </row>
    <row r="859">
      <c r="B859" s="74"/>
    </row>
    <row r="860">
      <c r="B860" s="74"/>
    </row>
    <row r="861">
      <c r="B861" s="74"/>
    </row>
    <row r="862">
      <c r="B862" s="74"/>
    </row>
    <row r="863">
      <c r="B863" s="74"/>
    </row>
    <row r="864">
      <c r="B864" s="74"/>
    </row>
    <row r="865">
      <c r="B865" s="74"/>
    </row>
    <row r="866">
      <c r="B866" s="74"/>
    </row>
    <row r="867">
      <c r="B867" s="74"/>
    </row>
    <row r="868">
      <c r="B868" s="74"/>
    </row>
    <row r="869">
      <c r="B869" s="74"/>
    </row>
    <row r="870">
      <c r="B870" s="74"/>
    </row>
    <row r="871">
      <c r="B871" s="74"/>
    </row>
    <row r="872">
      <c r="B872" s="74"/>
    </row>
    <row r="873">
      <c r="B873" s="74"/>
    </row>
    <row r="874">
      <c r="B874" s="74"/>
    </row>
    <row r="875">
      <c r="B875" s="74"/>
    </row>
    <row r="876">
      <c r="B876" s="74"/>
    </row>
    <row r="877">
      <c r="B877" s="74"/>
    </row>
    <row r="878">
      <c r="B878" s="74"/>
    </row>
    <row r="879">
      <c r="B879" s="74"/>
    </row>
    <row r="880">
      <c r="B880" s="74"/>
    </row>
    <row r="881">
      <c r="B881" s="74"/>
    </row>
    <row r="882">
      <c r="B882" s="74"/>
    </row>
    <row r="883">
      <c r="B883" s="74"/>
    </row>
    <row r="884">
      <c r="B884" s="74"/>
    </row>
    <row r="885">
      <c r="B885" s="74"/>
    </row>
    <row r="886">
      <c r="B886" s="74"/>
    </row>
    <row r="887">
      <c r="B887" s="74"/>
    </row>
    <row r="888">
      <c r="B888" s="74"/>
    </row>
    <row r="889">
      <c r="B889" s="74"/>
    </row>
    <row r="890">
      <c r="B890" s="74"/>
    </row>
    <row r="891">
      <c r="B891" s="74"/>
    </row>
    <row r="892">
      <c r="B892" s="74"/>
    </row>
    <row r="893">
      <c r="B893" s="74"/>
    </row>
    <row r="894">
      <c r="B894" s="74"/>
    </row>
    <row r="895">
      <c r="B895" s="74"/>
    </row>
    <row r="896">
      <c r="B896" s="74"/>
    </row>
    <row r="897">
      <c r="B897" s="74"/>
    </row>
    <row r="898">
      <c r="B898" s="74"/>
    </row>
    <row r="899">
      <c r="B899" s="74"/>
    </row>
    <row r="900">
      <c r="B900" s="74"/>
    </row>
    <row r="901">
      <c r="B901" s="74"/>
    </row>
    <row r="902">
      <c r="B902" s="74"/>
    </row>
    <row r="903">
      <c r="B903" s="74"/>
    </row>
    <row r="904">
      <c r="B904" s="74"/>
    </row>
    <row r="905">
      <c r="B905" s="74"/>
    </row>
    <row r="906">
      <c r="B906" s="74"/>
    </row>
    <row r="907">
      <c r="B907" s="74"/>
    </row>
    <row r="908">
      <c r="B908" s="74"/>
    </row>
    <row r="909">
      <c r="B909" s="74"/>
    </row>
    <row r="910">
      <c r="B910" s="74"/>
    </row>
    <row r="911">
      <c r="B911" s="74"/>
    </row>
    <row r="912">
      <c r="B912" s="74"/>
    </row>
    <row r="913">
      <c r="B913" s="74"/>
    </row>
    <row r="914">
      <c r="B914" s="74"/>
    </row>
    <row r="915">
      <c r="B915" s="74"/>
    </row>
    <row r="916">
      <c r="B916" s="74"/>
    </row>
    <row r="917">
      <c r="B917" s="74"/>
    </row>
    <row r="918">
      <c r="B918" s="74"/>
    </row>
    <row r="919">
      <c r="B919" s="74"/>
    </row>
    <row r="920">
      <c r="B920" s="74"/>
    </row>
    <row r="921">
      <c r="B921" s="74"/>
    </row>
    <row r="922">
      <c r="B922" s="74"/>
    </row>
    <row r="923">
      <c r="B923" s="74"/>
    </row>
    <row r="924">
      <c r="B924" s="74"/>
    </row>
    <row r="925">
      <c r="B925" s="74"/>
    </row>
    <row r="926">
      <c r="B926" s="74"/>
    </row>
    <row r="927">
      <c r="B927" s="74"/>
    </row>
    <row r="928">
      <c r="B928" s="74"/>
    </row>
    <row r="929">
      <c r="B929" s="74"/>
    </row>
    <row r="930">
      <c r="B930" s="74"/>
    </row>
    <row r="931">
      <c r="B931" s="74"/>
    </row>
    <row r="932">
      <c r="B932" s="74"/>
    </row>
    <row r="933">
      <c r="B933" s="74"/>
    </row>
    <row r="934">
      <c r="B934" s="74"/>
    </row>
    <row r="935">
      <c r="B935" s="74"/>
    </row>
    <row r="936">
      <c r="B936" s="74"/>
    </row>
    <row r="937">
      <c r="B937" s="74"/>
    </row>
    <row r="938">
      <c r="B938" s="74"/>
    </row>
    <row r="939">
      <c r="B939" s="74"/>
    </row>
    <row r="940">
      <c r="B940" s="74"/>
    </row>
    <row r="941">
      <c r="B941" s="74"/>
    </row>
    <row r="942">
      <c r="B942" s="74"/>
    </row>
    <row r="943">
      <c r="B943" s="74"/>
    </row>
    <row r="944">
      <c r="B944" s="74"/>
    </row>
    <row r="945">
      <c r="B945" s="74"/>
    </row>
    <row r="946">
      <c r="B946" s="74"/>
    </row>
    <row r="947">
      <c r="B947" s="74"/>
    </row>
    <row r="948">
      <c r="B948" s="74"/>
    </row>
    <row r="949">
      <c r="B949" s="74"/>
    </row>
    <row r="950">
      <c r="B950" s="74"/>
    </row>
    <row r="951">
      <c r="B951" s="74"/>
    </row>
    <row r="952">
      <c r="B952" s="74"/>
    </row>
    <row r="953">
      <c r="B953" s="74"/>
    </row>
    <row r="954">
      <c r="B954" s="74"/>
    </row>
    <row r="955">
      <c r="B955" s="74"/>
    </row>
    <row r="956">
      <c r="B956" s="74"/>
    </row>
    <row r="957">
      <c r="B957" s="74"/>
    </row>
    <row r="958">
      <c r="B958" s="74"/>
    </row>
    <row r="959">
      <c r="B959" s="74"/>
    </row>
    <row r="960">
      <c r="B960" s="74"/>
    </row>
    <row r="961">
      <c r="B961" s="74"/>
    </row>
    <row r="962">
      <c r="B962" s="74"/>
    </row>
    <row r="963">
      <c r="B963" s="74"/>
    </row>
    <row r="964">
      <c r="B964" s="74"/>
    </row>
    <row r="965">
      <c r="B965" s="74"/>
    </row>
    <row r="966">
      <c r="B966" s="74"/>
    </row>
    <row r="967">
      <c r="B967" s="74"/>
    </row>
    <row r="968">
      <c r="B968" s="74"/>
    </row>
    <row r="969">
      <c r="B969" s="74"/>
    </row>
    <row r="970">
      <c r="B970" s="74"/>
    </row>
    <row r="971">
      <c r="B971" s="74"/>
    </row>
    <row r="972">
      <c r="B972" s="74"/>
    </row>
    <row r="973">
      <c r="B973" s="74"/>
    </row>
    <row r="974">
      <c r="B974" s="74"/>
    </row>
    <row r="975">
      <c r="B975" s="74"/>
    </row>
    <row r="976">
      <c r="B976" s="74"/>
    </row>
    <row r="977">
      <c r="B977" s="74"/>
    </row>
    <row r="978">
      <c r="B978" s="74"/>
    </row>
    <row r="979">
      <c r="B979" s="74"/>
    </row>
    <row r="980">
      <c r="B980" s="74"/>
    </row>
    <row r="981">
      <c r="B981" s="74"/>
    </row>
    <row r="982">
      <c r="B982" s="74"/>
    </row>
    <row r="983">
      <c r="B983" s="74"/>
    </row>
    <row r="984">
      <c r="B984" s="74"/>
    </row>
    <row r="985">
      <c r="B985" s="74"/>
    </row>
    <row r="986">
      <c r="B986" s="74"/>
    </row>
    <row r="987">
      <c r="B987" s="74"/>
    </row>
    <row r="988">
      <c r="B988" s="74"/>
    </row>
    <row r="989">
      <c r="B989" s="74"/>
    </row>
    <row r="990">
      <c r="B990" s="74"/>
    </row>
    <row r="991">
      <c r="B991" s="74"/>
    </row>
    <row r="992">
      <c r="B992" s="74"/>
    </row>
    <row r="993">
      <c r="B993" s="74"/>
    </row>
    <row r="994">
      <c r="B994" s="74"/>
    </row>
    <row r="995">
      <c r="B995" s="74"/>
    </row>
    <row r="996">
      <c r="B996" s="74"/>
    </row>
    <row r="997">
      <c r="B997" s="74"/>
    </row>
    <row r="998">
      <c r="B998" s="74"/>
    </row>
    <row r="999">
      <c r="B999" s="74"/>
    </row>
    <row r="1000">
      <c r="B1000" s="74"/>
    </row>
  </sheetData>
  <dataValidations>
    <dataValidation type="custom" allowBlank="1" showDropDown="1" sqref="D2:D7">
      <formula1>OR(TIMEVALUE(TEXT(D2, "hh:mm:ss"))=D2, AND(ISNUMBER(D2), LEFT(CELL("format", D2))="D"))</formula1>
    </dataValidation>
    <dataValidation type="custom" allowBlank="1" showDropDown="1" sqref="C2:C7">
      <formula1>OR(NOT(ISERROR(DATEVALUE(C2))), AND(ISNUMBER(C2), LEFT(CELL("format", C2))="D"))</formula1>
    </dataValidation>
    <dataValidation type="list" allowBlank="1" showErrorMessage="1" sqref="A2:A7">
      <formula1>"Linkedin,Instagram,Facebook,Twitter(X),Tiktok"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  <tableParts count="1"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48.13"/>
    <col customWidth="1" min="3" max="3" width="25.75"/>
    <col customWidth="1" min="4" max="4" width="32.63"/>
    <col customWidth="1" min="5" max="5" width="30.75"/>
    <col customWidth="1" min="6" max="6" width="27.0"/>
    <col customWidth="1" min="7" max="7" width="32.88"/>
    <col customWidth="1" min="8" max="8" width="14.88"/>
    <col customWidth="1" min="9" max="9" width="25.5"/>
    <col customWidth="1" min="10" max="10" width="16.38"/>
    <col customWidth="1" min="11" max="11" width="13.63"/>
    <col customWidth="1" min="12" max="12" width="14.88"/>
    <col customWidth="1" min="13" max="13" width="25.75"/>
    <col customWidth="1" min="14" max="14" width="16.5"/>
    <col customWidth="1" min="17" max="17" width="19.13"/>
    <col customWidth="1" min="18" max="18" width="18.88"/>
    <col customWidth="1" min="19" max="19" width="25.75"/>
  </cols>
  <sheetData>
    <row r="1">
      <c r="A1" s="88" t="s">
        <v>91</v>
      </c>
    </row>
    <row r="2">
      <c r="A2" s="89" t="s">
        <v>92</v>
      </c>
    </row>
    <row r="4">
      <c r="A4" s="90"/>
    </row>
    <row r="5">
      <c r="A5" s="91"/>
      <c r="B5" s="92" t="s">
        <v>93</v>
      </c>
      <c r="C5" s="91"/>
      <c r="D5" s="91"/>
      <c r="E5" s="91"/>
      <c r="J5" s="91"/>
      <c r="M5" s="92" t="s">
        <v>94</v>
      </c>
    </row>
    <row r="6" ht="22.5" customHeight="1">
      <c r="A6" s="93" t="s">
        <v>0</v>
      </c>
      <c r="B6" s="94" t="s">
        <v>95</v>
      </c>
      <c r="C6" s="94" t="s">
        <v>96</v>
      </c>
      <c r="D6" s="94" t="s">
        <v>8</v>
      </c>
      <c r="E6" s="94" t="s">
        <v>11</v>
      </c>
      <c r="F6" s="94" t="s">
        <v>10</v>
      </c>
      <c r="G6" s="94" t="s">
        <v>97</v>
      </c>
      <c r="H6" s="94" t="s">
        <v>17</v>
      </c>
      <c r="I6" s="94" t="s">
        <v>98</v>
      </c>
      <c r="J6" s="94" t="s">
        <v>99</v>
      </c>
      <c r="L6" s="95" t="s">
        <v>6</v>
      </c>
      <c r="M6" s="95" t="s">
        <v>98</v>
      </c>
    </row>
    <row r="7" ht="22.5" customHeight="1">
      <c r="A7" s="96" t="s">
        <v>100</v>
      </c>
      <c r="B7" s="97">
        <v>9.0</v>
      </c>
      <c r="C7" s="98">
        <v>12368.0</v>
      </c>
      <c r="D7" s="98">
        <v>6730.0</v>
      </c>
      <c r="E7" s="97">
        <v>768.0</v>
      </c>
      <c r="F7" s="97">
        <v>65.0</v>
      </c>
      <c r="G7" s="97">
        <v>477.0</v>
      </c>
      <c r="H7" s="98">
        <v>1310.0</v>
      </c>
      <c r="I7" s="99">
        <v>0.2045</v>
      </c>
      <c r="J7" s="97">
        <v>26.0</v>
      </c>
      <c r="L7" s="96" t="s">
        <v>34</v>
      </c>
      <c r="M7" s="100">
        <v>0.1884</v>
      </c>
    </row>
    <row r="8" ht="22.5" customHeight="1">
      <c r="A8" s="96"/>
      <c r="B8" s="97"/>
      <c r="C8" s="98"/>
      <c r="D8" s="97"/>
      <c r="E8" s="97"/>
      <c r="F8" s="97"/>
      <c r="G8" s="97"/>
      <c r="H8" s="97"/>
      <c r="I8" s="99"/>
      <c r="J8" s="97"/>
      <c r="L8" s="96"/>
      <c r="M8" s="100"/>
      <c r="Q8" s="101"/>
    </row>
    <row r="9" ht="22.5" customHeight="1">
      <c r="A9" s="96" t="s">
        <v>19</v>
      </c>
      <c r="B9" s="97">
        <v>8.0</v>
      </c>
      <c r="C9" s="98">
        <v>1103.0</v>
      </c>
      <c r="D9" s="97">
        <v>573.0</v>
      </c>
      <c r="E9" s="97">
        <v>137.0</v>
      </c>
      <c r="F9" s="97">
        <v>8.0</v>
      </c>
      <c r="G9" s="97">
        <v>105.0</v>
      </c>
      <c r="H9" s="97">
        <v>250.0</v>
      </c>
      <c r="I9" s="99">
        <v>0.4617</v>
      </c>
      <c r="J9" s="97">
        <v>1.0</v>
      </c>
      <c r="L9" s="96" t="s">
        <v>35</v>
      </c>
      <c r="M9" s="100">
        <v>0.1422</v>
      </c>
    </row>
    <row r="10" ht="22.5" customHeight="1">
      <c r="A10" s="96" t="s">
        <v>101</v>
      </c>
      <c r="B10" s="97">
        <v>8.0</v>
      </c>
      <c r="C10" s="98">
        <v>1662.0</v>
      </c>
      <c r="D10" s="97" t="s">
        <v>102</v>
      </c>
      <c r="E10" s="97">
        <v>103.0</v>
      </c>
      <c r="F10" s="97">
        <v>22.0</v>
      </c>
      <c r="G10" s="97">
        <v>38.0</v>
      </c>
      <c r="H10" s="97">
        <v>163.0</v>
      </c>
      <c r="I10" s="99">
        <v>0.1109</v>
      </c>
      <c r="J10" s="97">
        <v>0.0</v>
      </c>
      <c r="L10" s="96" t="s">
        <v>38</v>
      </c>
      <c r="M10" s="100">
        <v>0.131</v>
      </c>
    </row>
    <row r="11" ht="22.5" customHeight="1">
      <c r="A11" s="96" t="s">
        <v>103</v>
      </c>
      <c r="B11" s="97">
        <v>6.0</v>
      </c>
      <c r="C11" s="97">
        <v>846.0</v>
      </c>
      <c r="D11" s="97" t="s">
        <v>102</v>
      </c>
      <c r="E11" s="97">
        <v>62.0</v>
      </c>
      <c r="F11" s="97">
        <v>3.0</v>
      </c>
      <c r="G11" s="97">
        <v>14.0</v>
      </c>
      <c r="H11" s="97">
        <v>79.0</v>
      </c>
      <c r="I11" s="99">
        <v>0.1226</v>
      </c>
      <c r="J11" s="97">
        <v>3.0</v>
      </c>
      <c r="L11" s="96" t="s">
        <v>47</v>
      </c>
      <c r="M11" s="100">
        <v>0.1184</v>
      </c>
    </row>
    <row r="13">
      <c r="A13" s="92" t="s">
        <v>104</v>
      </c>
    </row>
    <row r="14">
      <c r="E14" s="92" t="s">
        <v>105</v>
      </c>
      <c r="L14" s="102"/>
      <c r="M14" s="92" t="s">
        <v>106</v>
      </c>
    </row>
    <row r="15" ht="22.5" customHeight="1">
      <c r="A15" s="103" t="s">
        <v>5</v>
      </c>
      <c r="B15" s="103" t="s">
        <v>98</v>
      </c>
      <c r="D15" s="103" t="s">
        <v>107</v>
      </c>
      <c r="E15" s="103" t="s">
        <v>108</v>
      </c>
      <c r="F15" s="103" t="s">
        <v>0</v>
      </c>
      <c r="G15" s="103" t="s">
        <v>5</v>
      </c>
      <c r="H15" s="103" t="s">
        <v>4</v>
      </c>
      <c r="I15" s="103" t="s">
        <v>6</v>
      </c>
      <c r="J15" s="103" t="s">
        <v>109</v>
      </c>
      <c r="L15" s="93" t="s">
        <v>5</v>
      </c>
      <c r="M15" s="94" t="s">
        <v>110</v>
      </c>
      <c r="N15" s="94" t="s">
        <v>111</v>
      </c>
      <c r="Q15" s="102"/>
      <c r="R15" s="102"/>
      <c r="S15" s="102"/>
    </row>
    <row r="16" ht="22.5" customHeight="1">
      <c r="A16" s="96" t="s">
        <v>79</v>
      </c>
      <c r="B16" s="100">
        <v>0.292</v>
      </c>
      <c r="D16" s="104">
        <v>1.0</v>
      </c>
      <c r="E16" s="105" t="s">
        <v>110</v>
      </c>
      <c r="F16" s="96" t="s">
        <v>19</v>
      </c>
      <c r="G16" s="96" t="s">
        <v>63</v>
      </c>
      <c r="H16" s="96" t="s">
        <v>30</v>
      </c>
      <c r="I16" s="96" t="s">
        <v>34</v>
      </c>
      <c r="J16" s="100">
        <v>0.7403</v>
      </c>
      <c r="L16" s="96" t="s">
        <v>63</v>
      </c>
      <c r="M16" s="99">
        <v>0.7403</v>
      </c>
      <c r="N16" s="106"/>
      <c r="Q16" s="102"/>
      <c r="R16" s="102"/>
      <c r="S16" s="102"/>
    </row>
    <row r="17" ht="22.5" customHeight="1">
      <c r="A17" s="96" t="s">
        <v>45</v>
      </c>
      <c r="B17" s="100">
        <v>0.2482</v>
      </c>
      <c r="D17" s="104">
        <v>2.0</v>
      </c>
      <c r="E17" s="105" t="s">
        <v>110</v>
      </c>
      <c r="F17" s="96" t="s">
        <v>19</v>
      </c>
      <c r="G17" s="96" t="s">
        <v>77</v>
      </c>
      <c r="H17" s="96" t="s">
        <v>32</v>
      </c>
      <c r="I17" s="96" t="s">
        <v>34</v>
      </c>
      <c r="J17" s="100">
        <v>0.6842</v>
      </c>
      <c r="L17" s="96" t="s">
        <v>77</v>
      </c>
      <c r="M17" s="99">
        <v>0.6842</v>
      </c>
      <c r="N17" s="106"/>
      <c r="Q17" s="102"/>
      <c r="R17" s="102"/>
      <c r="S17" s="102"/>
    </row>
    <row r="18" ht="22.5" customHeight="1">
      <c r="A18" s="96" t="s">
        <v>68</v>
      </c>
      <c r="B18" s="100">
        <v>0.2443</v>
      </c>
      <c r="D18" s="104">
        <v>3.0</v>
      </c>
      <c r="E18" s="105" t="s">
        <v>110</v>
      </c>
      <c r="F18" s="96" t="s">
        <v>19</v>
      </c>
      <c r="G18" s="96" t="s">
        <v>79</v>
      </c>
      <c r="H18" s="96" t="s">
        <v>30</v>
      </c>
      <c r="I18" s="96" t="s">
        <v>34</v>
      </c>
      <c r="J18" s="100">
        <v>0.5714</v>
      </c>
      <c r="L18" s="96" t="s">
        <v>79</v>
      </c>
      <c r="M18" s="99">
        <v>0.5714</v>
      </c>
      <c r="N18" s="106"/>
    </row>
    <row r="19" ht="22.5" customHeight="1">
      <c r="A19" s="96" t="s">
        <v>76</v>
      </c>
      <c r="B19" s="100">
        <v>0.2335</v>
      </c>
      <c r="D19" s="104">
        <v>4.0</v>
      </c>
      <c r="E19" s="105" t="s">
        <v>110</v>
      </c>
      <c r="F19" s="96" t="s">
        <v>19</v>
      </c>
      <c r="G19" s="96" t="s">
        <v>36</v>
      </c>
      <c r="H19" s="96" t="s">
        <v>32</v>
      </c>
      <c r="I19" s="96" t="s">
        <v>34</v>
      </c>
      <c r="J19" s="100">
        <v>0.475</v>
      </c>
      <c r="L19" s="96" t="s">
        <v>36</v>
      </c>
      <c r="M19" s="99">
        <v>0.475</v>
      </c>
      <c r="N19" s="106"/>
    </row>
    <row r="20" ht="22.5" customHeight="1">
      <c r="A20" s="96" t="s">
        <v>77</v>
      </c>
      <c r="B20" s="100">
        <v>0.2013</v>
      </c>
      <c r="D20" s="104">
        <v>5.0</v>
      </c>
      <c r="E20" s="105" t="s">
        <v>110</v>
      </c>
      <c r="F20" s="96" t="s">
        <v>19</v>
      </c>
      <c r="G20" s="96" t="s">
        <v>31</v>
      </c>
      <c r="H20" s="96" t="s">
        <v>30</v>
      </c>
      <c r="I20" s="96" t="s">
        <v>34</v>
      </c>
      <c r="J20" s="100">
        <v>0.3694</v>
      </c>
      <c r="L20" s="96" t="s">
        <v>31</v>
      </c>
      <c r="M20" s="99">
        <v>0.3694</v>
      </c>
      <c r="N20" s="106"/>
    </row>
    <row r="21" ht="22.5" customHeight="1">
      <c r="A21" s="96" t="s">
        <v>31</v>
      </c>
      <c r="B21" s="100">
        <v>0.1743</v>
      </c>
      <c r="D21" s="104">
        <v>5.0</v>
      </c>
      <c r="E21" s="105" t="s">
        <v>111</v>
      </c>
      <c r="F21" s="96" t="s">
        <v>103</v>
      </c>
      <c r="G21" s="96" t="s">
        <v>46</v>
      </c>
      <c r="H21" s="96" t="s">
        <v>30</v>
      </c>
      <c r="I21" s="96" t="s">
        <v>47</v>
      </c>
      <c r="J21" s="100">
        <v>0.0902</v>
      </c>
      <c r="L21" s="96" t="s">
        <v>46</v>
      </c>
      <c r="M21" s="107"/>
      <c r="N21" s="100">
        <v>0.0902</v>
      </c>
    </row>
    <row r="22" ht="22.5" customHeight="1">
      <c r="A22" s="96" t="s">
        <v>112</v>
      </c>
      <c r="B22" s="100">
        <v>0.1719</v>
      </c>
      <c r="D22" s="104">
        <v>4.0</v>
      </c>
      <c r="E22" s="105" t="s">
        <v>111</v>
      </c>
      <c r="F22" s="96" t="s">
        <v>101</v>
      </c>
      <c r="G22" s="96" t="s">
        <v>33</v>
      </c>
      <c r="H22" s="96" t="s">
        <v>30</v>
      </c>
      <c r="I22" s="96" t="s">
        <v>35</v>
      </c>
      <c r="J22" s="100">
        <v>0.0644</v>
      </c>
      <c r="L22" s="96" t="s">
        <v>33</v>
      </c>
      <c r="M22" s="107"/>
      <c r="N22" s="100">
        <v>0.0644</v>
      </c>
    </row>
    <row r="23" ht="22.5" customHeight="1">
      <c r="A23" s="96" t="s">
        <v>113</v>
      </c>
      <c r="B23" s="100">
        <v>0.1703</v>
      </c>
      <c r="D23" s="104">
        <v>3.0</v>
      </c>
      <c r="E23" s="105" t="s">
        <v>111</v>
      </c>
      <c r="F23" s="96" t="s">
        <v>101</v>
      </c>
      <c r="G23" s="96" t="s">
        <v>37</v>
      </c>
      <c r="H23" s="96" t="s">
        <v>30</v>
      </c>
      <c r="I23" s="96" t="s">
        <v>35</v>
      </c>
      <c r="J23" s="100">
        <v>0.0345</v>
      </c>
      <c r="L23" s="96" t="s">
        <v>37</v>
      </c>
      <c r="M23" s="107"/>
      <c r="N23" s="100">
        <v>0.0345</v>
      </c>
    </row>
    <row r="24" ht="22.5" customHeight="1">
      <c r="A24" s="96" t="s">
        <v>33</v>
      </c>
      <c r="B24" s="100">
        <v>0.1495</v>
      </c>
      <c r="D24" s="104">
        <v>2.0</v>
      </c>
      <c r="E24" s="105" t="s">
        <v>111</v>
      </c>
      <c r="F24" s="96" t="s">
        <v>103</v>
      </c>
      <c r="G24" s="96" t="s">
        <v>53</v>
      </c>
      <c r="H24" s="96" t="s">
        <v>32</v>
      </c>
      <c r="I24" s="96" t="s">
        <v>47</v>
      </c>
      <c r="J24" s="100">
        <v>0.0333</v>
      </c>
      <c r="L24" s="96" t="s">
        <v>53</v>
      </c>
      <c r="M24" s="107"/>
      <c r="N24" s="100">
        <v>0.0333</v>
      </c>
    </row>
    <row r="25" ht="22.5" customHeight="1">
      <c r="A25" s="96" t="s">
        <v>63</v>
      </c>
      <c r="B25" s="100">
        <v>0.1462</v>
      </c>
      <c r="D25" s="104">
        <v>1.0</v>
      </c>
      <c r="E25" s="105" t="s">
        <v>111</v>
      </c>
      <c r="F25" s="96" t="s">
        <v>103</v>
      </c>
      <c r="G25" s="96" t="s">
        <v>36</v>
      </c>
      <c r="H25" s="96" t="s">
        <v>32</v>
      </c>
      <c r="I25" s="96" t="s">
        <v>38</v>
      </c>
      <c r="J25" s="100">
        <v>0.0178</v>
      </c>
      <c r="L25" s="96" t="s">
        <v>36</v>
      </c>
      <c r="M25" s="107"/>
      <c r="N25" s="100">
        <v>0.0178</v>
      </c>
    </row>
    <row r="26" ht="22.5" customHeight="1">
      <c r="A26" s="96" t="s">
        <v>36</v>
      </c>
      <c r="B26" s="100">
        <v>0.142</v>
      </c>
    </row>
    <row r="27" ht="22.5" customHeight="1">
      <c r="A27" s="96" t="s">
        <v>71</v>
      </c>
      <c r="B27" s="100">
        <v>0.1398</v>
      </c>
      <c r="E27" s="92" t="s">
        <v>114</v>
      </c>
      <c r="K27" s="92" t="s">
        <v>115</v>
      </c>
      <c r="L27" s="108"/>
    </row>
    <row r="28" ht="22.5" customHeight="1">
      <c r="A28" s="96" t="s">
        <v>34</v>
      </c>
      <c r="B28" s="100">
        <v>0.1372</v>
      </c>
      <c r="D28" s="93" t="s">
        <v>4</v>
      </c>
      <c r="E28" s="94" t="s">
        <v>100</v>
      </c>
      <c r="F28" s="94" t="s">
        <v>19</v>
      </c>
      <c r="G28" s="94" t="s">
        <v>101</v>
      </c>
      <c r="H28" s="94" t="s">
        <v>103</v>
      </c>
      <c r="J28" s="93" t="s">
        <v>116</v>
      </c>
      <c r="K28" s="94" t="s">
        <v>117</v>
      </c>
      <c r="L28" s="94" t="s">
        <v>98</v>
      </c>
    </row>
    <row r="29" ht="22.5" customHeight="1">
      <c r="A29" s="96" t="s">
        <v>58</v>
      </c>
      <c r="B29" s="100">
        <v>0.1243</v>
      </c>
      <c r="D29" s="96" t="s">
        <v>30</v>
      </c>
      <c r="E29" s="99">
        <v>0.1858</v>
      </c>
      <c r="F29" s="99">
        <v>0.1783</v>
      </c>
      <c r="G29" s="99">
        <v>0.0979</v>
      </c>
      <c r="H29" s="99">
        <v>0.1576</v>
      </c>
      <c r="J29" s="96" t="s">
        <v>118</v>
      </c>
      <c r="K29" s="97">
        <v>337.0</v>
      </c>
      <c r="L29" s="99">
        <v>0.0178</v>
      </c>
    </row>
    <row r="30" ht="22.5" customHeight="1">
      <c r="A30" s="96" t="s">
        <v>119</v>
      </c>
      <c r="B30" s="100">
        <v>0.1116</v>
      </c>
      <c r="D30" s="96" t="s">
        <v>32</v>
      </c>
      <c r="E30" s="99">
        <v>0.2629</v>
      </c>
      <c r="F30" s="99">
        <v>0.2137</v>
      </c>
      <c r="G30" s="99">
        <v>0.1385</v>
      </c>
      <c r="H30" s="99">
        <v>0.0587</v>
      </c>
      <c r="J30" s="96" t="s">
        <v>120</v>
      </c>
      <c r="K30" s="97">
        <v>253.0</v>
      </c>
      <c r="L30" s="99">
        <v>0.0618</v>
      </c>
    </row>
    <row r="31" ht="22.5" customHeight="1">
      <c r="A31" s="96" t="s">
        <v>46</v>
      </c>
      <c r="B31" s="100">
        <v>0.0902</v>
      </c>
      <c r="D31" s="96" t="s">
        <v>58</v>
      </c>
      <c r="E31" s="100">
        <v>0.1372</v>
      </c>
      <c r="F31" s="96" t="s">
        <v>102</v>
      </c>
      <c r="G31" s="100">
        <v>0.1135</v>
      </c>
      <c r="H31" s="96" t="s">
        <v>102</v>
      </c>
      <c r="J31" s="96" t="s">
        <v>121</v>
      </c>
      <c r="K31" s="98">
        <v>10073.0</v>
      </c>
      <c r="L31" s="99">
        <v>0.1561</v>
      </c>
    </row>
    <row r="32" ht="22.5" customHeight="1">
      <c r="A32" s="96" t="s">
        <v>37</v>
      </c>
      <c r="B32" s="100">
        <v>0.0345</v>
      </c>
      <c r="D32" s="96" t="s">
        <v>43</v>
      </c>
      <c r="E32" s="100">
        <v>0.2482</v>
      </c>
      <c r="F32" s="96" t="s">
        <v>102</v>
      </c>
      <c r="G32" s="96" t="s">
        <v>102</v>
      </c>
      <c r="H32" s="96" t="s">
        <v>102</v>
      </c>
      <c r="J32" s="96" t="s">
        <v>122</v>
      </c>
      <c r="K32" s="98">
        <v>6269.0</v>
      </c>
      <c r="L32" s="99">
        <v>0.1782</v>
      </c>
    </row>
    <row r="33" ht="22.5" customHeight="1">
      <c r="A33" s="96" t="s">
        <v>53</v>
      </c>
      <c r="B33" s="100">
        <v>0.0333</v>
      </c>
      <c r="D33" s="96" t="s">
        <v>70</v>
      </c>
      <c r="E33" s="96" t="s">
        <v>102</v>
      </c>
      <c r="F33" s="100">
        <v>0.1398</v>
      </c>
      <c r="G33" s="96" t="s">
        <v>102</v>
      </c>
      <c r="H33" s="100">
        <v>0.2443</v>
      </c>
      <c r="J33" s="96" t="s">
        <v>123</v>
      </c>
      <c r="K33" s="97">
        <v>879.0</v>
      </c>
      <c r="L33" s="99">
        <v>0.2013</v>
      </c>
    </row>
    <row r="38">
      <c r="B38" s="92" t="s">
        <v>124</v>
      </c>
    </row>
    <row r="39" ht="22.5" customHeight="1">
      <c r="A39" s="95" t="s">
        <v>125</v>
      </c>
      <c r="B39" s="95" t="s">
        <v>117</v>
      </c>
      <c r="C39" s="95" t="s">
        <v>98</v>
      </c>
    </row>
    <row r="40" ht="22.5" customHeight="1">
      <c r="A40" s="109">
        <v>46204.0</v>
      </c>
      <c r="B40" s="96">
        <v>590.0</v>
      </c>
      <c r="C40" s="100">
        <v>0.0471</v>
      </c>
    </row>
    <row r="41" ht="22.5" customHeight="1">
      <c r="A41" s="109">
        <v>46235.0</v>
      </c>
      <c r="B41" s="96">
        <v>17221.0</v>
      </c>
      <c r="C41" s="100">
        <v>0.1705</v>
      </c>
    </row>
    <row r="42" ht="22.5" customHeight="1">
      <c r="A42" s="96" t="s">
        <v>126</v>
      </c>
      <c r="B42" s="96">
        <v>17811.0</v>
      </c>
      <c r="C42" s="100">
        <v>0.1585</v>
      </c>
    </row>
    <row r="53">
      <c r="A53" s="88" t="s">
        <v>127</v>
      </c>
    </row>
    <row r="54">
      <c r="A54" s="88" t="s">
        <v>128</v>
      </c>
    </row>
    <row r="57">
      <c r="A57" s="101"/>
      <c r="F57" s="101"/>
      <c r="G57" s="101"/>
    </row>
    <row r="58">
      <c r="A58" s="101"/>
      <c r="B58" s="92" t="s">
        <v>129</v>
      </c>
      <c r="F58" s="101"/>
      <c r="G58" s="101"/>
      <c r="I58" s="91"/>
      <c r="J58" s="92"/>
    </row>
    <row r="59" ht="22.5" customHeight="1">
      <c r="A59" s="103" t="s">
        <v>130</v>
      </c>
      <c r="B59" s="103" t="s">
        <v>100</v>
      </c>
      <c r="C59" s="103" t="s">
        <v>19</v>
      </c>
      <c r="D59" s="103" t="s">
        <v>101</v>
      </c>
      <c r="E59" s="103" t="s">
        <v>131</v>
      </c>
      <c r="F59" s="103" t="s">
        <v>103</v>
      </c>
      <c r="G59" s="103" t="s">
        <v>132</v>
      </c>
    </row>
    <row r="60" ht="22.5" customHeight="1">
      <c r="A60" s="96" t="s">
        <v>133</v>
      </c>
      <c r="B60" s="96">
        <v>4.85</v>
      </c>
      <c r="C60" s="96">
        <v>4.0</v>
      </c>
      <c r="D60" s="96">
        <v>4.0</v>
      </c>
      <c r="E60" s="96" t="s">
        <v>102</v>
      </c>
      <c r="F60" s="96">
        <v>1.56</v>
      </c>
      <c r="G60" s="96" t="s">
        <v>102</v>
      </c>
      <c r="J60" s="102"/>
      <c r="K60" s="102"/>
    </row>
    <row r="61" ht="22.5" customHeight="1">
      <c r="A61" s="96" t="s">
        <v>134</v>
      </c>
      <c r="B61" s="96">
        <v>5.0</v>
      </c>
      <c r="C61" s="96">
        <v>3.0</v>
      </c>
      <c r="D61" s="96">
        <v>15.0</v>
      </c>
      <c r="E61" s="96">
        <v>0.0</v>
      </c>
      <c r="F61" s="96">
        <v>3.0</v>
      </c>
      <c r="G61" s="96">
        <v>3.0</v>
      </c>
      <c r="J61" s="102"/>
      <c r="K61" s="102"/>
    </row>
    <row r="62" ht="22.5" customHeight="1">
      <c r="A62" s="96" t="s">
        <v>135</v>
      </c>
      <c r="B62" s="96">
        <v>0.0</v>
      </c>
      <c r="C62" s="96">
        <v>7.0</v>
      </c>
      <c r="D62" s="96">
        <v>7.0</v>
      </c>
      <c r="E62" s="96">
        <v>0.0</v>
      </c>
      <c r="F62" s="96">
        <v>3.0</v>
      </c>
      <c r="G62" s="96">
        <v>5.0</v>
      </c>
      <c r="J62" s="102"/>
      <c r="K62" s="102"/>
    </row>
    <row r="63" ht="22.5" customHeight="1">
      <c r="A63" s="96" t="s">
        <v>136</v>
      </c>
      <c r="B63" s="96">
        <v>0.0</v>
      </c>
      <c r="C63" s="96">
        <v>2.0</v>
      </c>
      <c r="D63" s="96">
        <v>2.0</v>
      </c>
      <c r="E63" s="96">
        <v>0.0</v>
      </c>
      <c r="F63" s="96">
        <v>0.0</v>
      </c>
      <c r="G63" s="96">
        <v>2.0</v>
      </c>
      <c r="J63" s="102"/>
      <c r="K63" s="102"/>
    </row>
    <row r="64" ht="22.5" customHeight="1">
      <c r="A64" s="96" t="s">
        <v>137</v>
      </c>
      <c r="B64" s="96">
        <v>2.0</v>
      </c>
      <c r="C64" s="96">
        <v>12.0</v>
      </c>
      <c r="D64" s="96">
        <v>12.0</v>
      </c>
      <c r="E64" s="96">
        <v>3.0</v>
      </c>
      <c r="F64" s="96">
        <v>3.0</v>
      </c>
      <c r="G64" s="96">
        <v>2.0</v>
      </c>
      <c r="J64" s="102"/>
      <c r="K64" s="102"/>
    </row>
    <row r="65" ht="22.5" customHeight="1">
      <c r="A65" s="96" t="s">
        <v>138</v>
      </c>
      <c r="B65" s="96">
        <v>17.5</v>
      </c>
      <c r="C65" s="96">
        <v>3.5</v>
      </c>
      <c r="D65" s="96" t="s">
        <v>102</v>
      </c>
      <c r="E65" s="96">
        <v>0.0</v>
      </c>
      <c r="F65" s="96" t="s">
        <v>102</v>
      </c>
      <c r="G65" s="96">
        <v>3.5</v>
      </c>
      <c r="J65" s="102"/>
      <c r="K65" s="102"/>
    </row>
    <row r="66" ht="22.5" customHeight="1">
      <c r="A66" s="96" t="s">
        <v>139</v>
      </c>
      <c r="B66" s="96">
        <v>3.5</v>
      </c>
      <c r="C66" s="96" t="s">
        <v>102</v>
      </c>
      <c r="D66" s="96">
        <v>3.5</v>
      </c>
      <c r="E66" s="96">
        <v>0.0</v>
      </c>
      <c r="F66" s="96">
        <v>45.5</v>
      </c>
      <c r="G66" s="96">
        <v>10.5</v>
      </c>
      <c r="J66" s="102"/>
      <c r="K66" s="102"/>
    </row>
    <row r="67" ht="22.5" customHeight="1">
      <c r="A67" s="96" t="s">
        <v>140</v>
      </c>
      <c r="B67" s="96">
        <v>0.0</v>
      </c>
      <c r="C67" s="96" t="s">
        <v>102</v>
      </c>
      <c r="D67" s="96">
        <v>10.5</v>
      </c>
      <c r="E67" s="96">
        <v>0.0</v>
      </c>
      <c r="F67" s="96">
        <v>10.5</v>
      </c>
      <c r="G67" s="96">
        <v>2.0</v>
      </c>
      <c r="J67" s="102"/>
      <c r="K67" s="102"/>
    </row>
    <row r="68" ht="22.5" customHeight="1">
      <c r="A68" s="96" t="s">
        <v>141</v>
      </c>
      <c r="B68" s="96">
        <v>17.5</v>
      </c>
      <c r="C68" s="96">
        <v>17.5</v>
      </c>
      <c r="D68" s="96">
        <v>3.5</v>
      </c>
      <c r="E68" s="96">
        <v>0.23</v>
      </c>
      <c r="F68" s="96">
        <v>10.5</v>
      </c>
      <c r="G68" s="96">
        <v>3.5</v>
      </c>
      <c r="J68" s="102"/>
      <c r="K68" s="102"/>
    </row>
    <row r="69" ht="22.5" customHeight="1">
      <c r="A69" s="96" t="s">
        <v>142</v>
      </c>
      <c r="B69" s="96">
        <v>3.5</v>
      </c>
      <c r="C69" s="96">
        <v>7.5</v>
      </c>
      <c r="D69" s="96">
        <v>12.5</v>
      </c>
      <c r="E69" s="96">
        <v>0.58</v>
      </c>
      <c r="F69" s="96">
        <v>1.5</v>
      </c>
      <c r="G69" s="96">
        <v>7.5</v>
      </c>
      <c r="J69" s="102"/>
      <c r="K69" s="102"/>
    </row>
    <row r="70" ht="22.5" customHeight="1">
      <c r="A70" s="96" t="s">
        <v>143</v>
      </c>
      <c r="B70" s="96">
        <v>7.5</v>
      </c>
      <c r="C70" s="96">
        <v>7.5</v>
      </c>
      <c r="D70" s="96">
        <v>7.5</v>
      </c>
      <c r="E70" s="96">
        <v>0.35</v>
      </c>
      <c r="F70" s="96">
        <v>3.5</v>
      </c>
      <c r="G70" s="96">
        <v>8.5</v>
      </c>
      <c r="J70" s="102"/>
      <c r="K70" s="102"/>
    </row>
    <row r="71" ht="22.5" customHeight="1">
      <c r="A71" s="96" t="s">
        <v>144</v>
      </c>
      <c r="B71" s="96">
        <v>3.5</v>
      </c>
      <c r="C71" s="96">
        <v>12.5</v>
      </c>
      <c r="D71" s="96" t="s">
        <v>102</v>
      </c>
      <c r="E71" s="96">
        <v>0.35</v>
      </c>
      <c r="F71" s="96">
        <v>3.0</v>
      </c>
      <c r="G71" s="96">
        <v>15.0</v>
      </c>
      <c r="J71" s="102"/>
      <c r="K71" s="102"/>
    </row>
    <row r="72" ht="22.5" customHeight="1">
      <c r="A72" s="96" t="s">
        <v>145</v>
      </c>
      <c r="B72" s="96">
        <v>4.0</v>
      </c>
      <c r="C72" s="96">
        <v>2.5</v>
      </c>
      <c r="D72" s="96">
        <v>6.0</v>
      </c>
      <c r="E72" s="96">
        <v>0.23</v>
      </c>
      <c r="F72" s="96">
        <v>1.0</v>
      </c>
      <c r="G72" s="96">
        <v>4.5</v>
      </c>
      <c r="J72" s="102"/>
      <c r="K72" s="102"/>
    </row>
    <row r="73" ht="22.5" customHeight="1">
      <c r="A73" s="96" t="s">
        <v>146</v>
      </c>
      <c r="B73" s="96">
        <v>2.5</v>
      </c>
      <c r="C73" s="96">
        <v>4.0</v>
      </c>
      <c r="D73" s="96">
        <v>4.0</v>
      </c>
      <c r="E73" s="96">
        <v>2.5</v>
      </c>
      <c r="F73" s="96" t="s">
        <v>102</v>
      </c>
      <c r="G73" s="96">
        <v>4.5</v>
      </c>
      <c r="J73" s="102"/>
      <c r="K73" s="102"/>
    </row>
    <row r="74" ht="22.5" customHeight="1">
      <c r="A74" s="96" t="s">
        <v>147</v>
      </c>
      <c r="B74" s="96" t="s">
        <v>102</v>
      </c>
      <c r="C74" s="96" t="s">
        <v>102</v>
      </c>
      <c r="D74" s="96" t="s">
        <v>102</v>
      </c>
      <c r="E74" s="96" t="s">
        <v>102</v>
      </c>
      <c r="F74" s="96" t="s">
        <v>102</v>
      </c>
      <c r="G74" s="96" t="s">
        <v>102</v>
      </c>
      <c r="J74" s="102"/>
      <c r="K74" s="102"/>
    </row>
    <row r="75" ht="22.5" customHeight="1">
      <c r="A75" s="96" t="s">
        <v>148</v>
      </c>
      <c r="B75" s="96">
        <v>4.5</v>
      </c>
      <c r="C75" s="96">
        <v>5.0</v>
      </c>
      <c r="D75" s="96">
        <v>5.0</v>
      </c>
      <c r="E75" s="96">
        <v>5.0</v>
      </c>
      <c r="F75" s="96">
        <v>0.5</v>
      </c>
      <c r="G75" s="96">
        <v>5.0</v>
      </c>
      <c r="J75" s="102"/>
      <c r="K75" s="102"/>
    </row>
    <row r="76" ht="22.5" customHeight="1">
      <c r="A76" s="96" t="s">
        <v>149</v>
      </c>
      <c r="B76" s="96">
        <v>6.0</v>
      </c>
      <c r="C76" s="96">
        <v>0.58</v>
      </c>
      <c r="D76" s="96">
        <v>0.81</v>
      </c>
      <c r="E76" s="96">
        <v>0.0</v>
      </c>
      <c r="F76" s="96">
        <v>0.0</v>
      </c>
      <c r="G76" s="96">
        <v>0.81</v>
      </c>
      <c r="J76" s="102"/>
      <c r="K76" s="102"/>
    </row>
    <row r="77" ht="22.5" customHeight="1">
      <c r="A77" s="96" t="s">
        <v>150</v>
      </c>
      <c r="B77" s="96">
        <v>4.5</v>
      </c>
      <c r="C77" s="96">
        <v>10.5</v>
      </c>
      <c r="D77" s="96">
        <v>7.5</v>
      </c>
      <c r="E77" s="96">
        <v>0.0</v>
      </c>
      <c r="F77" s="96">
        <v>7.5</v>
      </c>
      <c r="G77" s="96">
        <v>7.5</v>
      </c>
      <c r="J77" s="102"/>
      <c r="K77" s="102"/>
    </row>
    <row r="78" ht="22.5" customHeight="1">
      <c r="A78" s="96" t="s">
        <v>151</v>
      </c>
      <c r="B78" s="96">
        <v>17.5</v>
      </c>
      <c r="C78" s="96">
        <v>10.5</v>
      </c>
      <c r="D78" s="96">
        <v>38.5</v>
      </c>
      <c r="E78" s="96">
        <v>0.0</v>
      </c>
      <c r="F78" s="96">
        <v>6.0</v>
      </c>
      <c r="G78" s="96">
        <v>6.0</v>
      </c>
      <c r="J78" s="102"/>
      <c r="K78" s="102"/>
    </row>
    <row r="79" ht="22.5" customHeight="1">
      <c r="A79" s="96" t="s">
        <v>152</v>
      </c>
      <c r="B79" s="96">
        <v>17.5</v>
      </c>
      <c r="C79" s="96">
        <v>6.0</v>
      </c>
      <c r="D79" s="96">
        <v>0.0</v>
      </c>
      <c r="E79" s="96">
        <v>0.58</v>
      </c>
      <c r="F79" s="96">
        <v>6.0</v>
      </c>
      <c r="G79" s="96">
        <v>10.5</v>
      </c>
      <c r="J79" s="102"/>
      <c r="K79" s="102"/>
    </row>
    <row r="80" ht="22.5" customHeight="1">
      <c r="A80" s="96" t="s">
        <v>153</v>
      </c>
      <c r="B80" s="96">
        <v>2.5</v>
      </c>
      <c r="C80" s="96">
        <v>2.5</v>
      </c>
      <c r="D80" s="96">
        <v>4.0</v>
      </c>
      <c r="E80" s="96">
        <v>0.35</v>
      </c>
      <c r="F80" s="96" t="s">
        <v>102</v>
      </c>
      <c r="G80" s="96">
        <v>4.0</v>
      </c>
      <c r="J80" s="102"/>
      <c r="K80" s="102"/>
    </row>
    <row r="81" ht="22.5" customHeight="1">
      <c r="A81" s="96" t="s">
        <v>154</v>
      </c>
      <c r="B81" s="96">
        <v>4.0</v>
      </c>
      <c r="C81" s="96">
        <v>4.0</v>
      </c>
      <c r="D81" s="96">
        <v>7.5</v>
      </c>
      <c r="E81" s="96">
        <v>0.35</v>
      </c>
      <c r="F81" s="96">
        <v>4.0</v>
      </c>
      <c r="G81" s="96">
        <v>7.5</v>
      </c>
      <c r="J81" s="102"/>
      <c r="K81" s="102"/>
    </row>
    <row r="82" ht="22.5" customHeight="1">
      <c r="A82" s="96" t="s">
        <v>155</v>
      </c>
      <c r="B82" s="96">
        <v>0.35</v>
      </c>
      <c r="C82" s="96">
        <v>0.35</v>
      </c>
      <c r="D82" s="96" t="s">
        <v>102</v>
      </c>
      <c r="E82" s="96">
        <v>0.0</v>
      </c>
      <c r="F82" s="96">
        <v>4.0</v>
      </c>
      <c r="G82" s="96">
        <v>6.0</v>
      </c>
      <c r="J82" s="102"/>
      <c r="K82" s="102"/>
    </row>
    <row r="83" ht="22.5" customHeight="1">
      <c r="A83" s="96" t="s">
        <v>156</v>
      </c>
      <c r="B83" s="96">
        <v>4.0</v>
      </c>
      <c r="C83" s="96">
        <v>1.5</v>
      </c>
      <c r="D83" s="96" t="s">
        <v>102</v>
      </c>
      <c r="E83" s="96">
        <v>0.35</v>
      </c>
      <c r="F83" s="96">
        <v>4.0</v>
      </c>
      <c r="G83" s="96">
        <v>4.0</v>
      </c>
      <c r="J83" s="102"/>
      <c r="K83" s="102"/>
    </row>
    <row r="84">
      <c r="J84" s="102"/>
      <c r="K84" s="102"/>
    </row>
    <row r="86">
      <c r="B86" s="110" t="s">
        <v>157</v>
      </c>
      <c r="C86" s="108"/>
      <c r="E86" s="110" t="s">
        <v>158</v>
      </c>
      <c r="H86" s="92" t="s">
        <v>159</v>
      </c>
    </row>
    <row r="87" ht="22.5" customHeight="1">
      <c r="A87" s="103" t="s">
        <v>130</v>
      </c>
      <c r="B87" s="103" t="s">
        <v>160</v>
      </c>
      <c r="D87" s="103" t="s">
        <v>130</v>
      </c>
      <c r="E87" s="103" t="s">
        <v>161</v>
      </c>
      <c r="F87" s="91"/>
      <c r="G87" s="111" t="s">
        <v>0</v>
      </c>
      <c r="H87" s="103" t="s">
        <v>162</v>
      </c>
      <c r="I87" s="103" t="s">
        <v>163</v>
      </c>
      <c r="J87" s="103" t="s">
        <v>164</v>
      </c>
    </row>
    <row r="88" ht="22.5" customHeight="1">
      <c r="A88" s="96" t="s">
        <v>146</v>
      </c>
      <c r="B88" s="112">
        <v>714300.0</v>
      </c>
      <c r="D88" s="96" t="s">
        <v>137</v>
      </c>
      <c r="E88" s="96">
        <v>6.0</v>
      </c>
      <c r="F88" s="102"/>
      <c r="G88" s="96" t="s">
        <v>100</v>
      </c>
      <c r="H88" s="112">
        <v>50000.0</v>
      </c>
      <c r="I88" s="112">
        <v>48000.0</v>
      </c>
      <c r="J88" s="96" t="s">
        <v>165</v>
      </c>
    </row>
    <row r="89" ht="22.5" customHeight="1">
      <c r="A89" s="96" t="s">
        <v>152</v>
      </c>
      <c r="B89" s="112">
        <v>710724.0</v>
      </c>
      <c r="D89" s="96" t="s">
        <v>141</v>
      </c>
      <c r="E89" s="96">
        <v>6.0</v>
      </c>
      <c r="F89" s="102"/>
      <c r="G89" s="96" t="s">
        <v>19</v>
      </c>
      <c r="H89" s="96">
        <v>828.0</v>
      </c>
      <c r="I89" s="112">
        <v>17000.0</v>
      </c>
      <c r="J89" s="96" t="s">
        <v>166</v>
      </c>
    </row>
    <row r="90" ht="22.5" customHeight="1">
      <c r="A90" s="96" t="s">
        <v>148</v>
      </c>
      <c r="B90" s="112">
        <v>680611.1</v>
      </c>
      <c r="D90" s="96" t="s">
        <v>142</v>
      </c>
      <c r="E90" s="96">
        <v>6.0</v>
      </c>
      <c r="F90" s="102"/>
      <c r="G90" s="96" t="s">
        <v>101</v>
      </c>
      <c r="H90" s="112">
        <v>2000.0</v>
      </c>
      <c r="I90" s="112">
        <v>19650.0</v>
      </c>
      <c r="J90" s="96" t="s">
        <v>166</v>
      </c>
    </row>
    <row r="91" ht="22.5" customHeight="1">
      <c r="A91" s="96" t="s">
        <v>142</v>
      </c>
      <c r="B91" s="112">
        <v>294521.0</v>
      </c>
      <c r="D91" s="96" t="s">
        <v>143</v>
      </c>
      <c r="E91" s="96">
        <v>6.0</v>
      </c>
      <c r="F91" s="102"/>
      <c r="G91" s="96" t="s">
        <v>131</v>
      </c>
      <c r="H91" s="112">
        <v>2470.0</v>
      </c>
      <c r="I91" s="112">
        <v>1800.0</v>
      </c>
      <c r="J91" s="96" t="s">
        <v>165</v>
      </c>
    </row>
    <row r="92" ht="22.5" customHeight="1">
      <c r="A92" s="96" t="s">
        <v>150</v>
      </c>
      <c r="B92" s="112">
        <v>286289.0</v>
      </c>
      <c r="D92" s="96" t="s">
        <v>145</v>
      </c>
      <c r="E92" s="96">
        <v>6.0</v>
      </c>
      <c r="F92" s="102"/>
      <c r="G92" s="96" t="s">
        <v>103</v>
      </c>
      <c r="H92" s="112">
        <v>1500.0</v>
      </c>
      <c r="I92" s="96">
        <v>2110.0</v>
      </c>
      <c r="J92" s="96" t="s">
        <v>166</v>
      </c>
    </row>
    <row r="93" ht="22.5" customHeight="1">
      <c r="A93" s="96" t="s">
        <v>155</v>
      </c>
      <c r="B93" s="112">
        <v>266222.0</v>
      </c>
      <c r="D93" s="96" t="s">
        <v>148</v>
      </c>
      <c r="E93" s="96">
        <v>6.0</v>
      </c>
      <c r="F93" s="102"/>
      <c r="G93" s="96" t="s">
        <v>132</v>
      </c>
      <c r="H93" s="112">
        <v>2600.0</v>
      </c>
      <c r="I93" s="112">
        <v>16500.0</v>
      </c>
      <c r="J93" s="96" t="s">
        <v>166</v>
      </c>
    </row>
    <row r="94" ht="22.5" customHeight="1">
      <c r="A94" s="96" t="s">
        <v>134</v>
      </c>
      <c r="B94" s="112">
        <v>202280.0</v>
      </c>
      <c r="D94" s="96" t="s">
        <v>154</v>
      </c>
      <c r="E94" s="96">
        <v>6.0</v>
      </c>
      <c r="F94" s="102"/>
      <c r="G94" s="102"/>
      <c r="H94" s="102"/>
      <c r="I94" s="102"/>
    </row>
    <row r="95" ht="22.5" customHeight="1">
      <c r="A95" s="96" t="s">
        <v>137</v>
      </c>
      <c r="B95" s="112">
        <v>192170.0</v>
      </c>
      <c r="D95" s="96" t="s">
        <v>134</v>
      </c>
      <c r="E95" s="96">
        <v>5.0</v>
      </c>
    </row>
    <row r="96" ht="22.5" customHeight="1">
      <c r="A96" s="96" t="s">
        <v>143</v>
      </c>
      <c r="B96" s="112">
        <v>189520.0</v>
      </c>
      <c r="D96" s="96" t="s">
        <v>144</v>
      </c>
      <c r="E96" s="96">
        <v>5.0</v>
      </c>
    </row>
    <row r="97" ht="22.5" customHeight="1">
      <c r="A97" s="96" t="s">
        <v>144</v>
      </c>
      <c r="B97" s="112">
        <v>188200.0</v>
      </c>
      <c r="D97" s="96" t="s">
        <v>146</v>
      </c>
      <c r="E97" s="96">
        <v>5.0</v>
      </c>
    </row>
    <row r="98" ht="22.5" customHeight="1">
      <c r="A98" s="96" t="s">
        <v>147</v>
      </c>
      <c r="B98" s="112">
        <v>175600.0</v>
      </c>
      <c r="D98" s="96" t="s">
        <v>150</v>
      </c>
      <c r="E98" s="96">
        <v>5.0</v>
      </c>
    </row>
    <row r="99" ht="22.5" customHeight="1">
      <c r="A99" s="96" t="s">
        <v>141</v>
      </c>
      <c r="B99" s="112">
        <v>145600.0</v>
      </c>
      <c r="D99" s="96" t="s">
        <v>151</v>
      </c>
      <c r="E99" s="96">
        <v>5.0</v>
      </c>
    </row>
    <row r="100" ht="22.5" customHeight="1">
      <c r="A100" s="96" t="s">
        <v>149</v>
      </c>
      <c r="B100" s="112">
        <v>103689.0</v>
      </c>
      <c r="D100" s="96" t="s">
        <v>152</v>
      </c>
      <c r="E100" s="96">
        <v>5.0</v>
      </c>
    </row>
    <row r="101" ht="22.5" customHeight="1">
      <c r="A101" s="96" t="s">
        <v>138</v>
      </c>
      <c r="B101" s="112">
        <v>72590.0</v>
      </c>
      <c r="D101" s="96" t="s">
        <v>153</v>
      </c>
      <c r="E101" s="96">
        <v>5.0</v>
      </c>
    </row>
    <row r="102" ht="22.5" customHeight="1">
      <c r="A102" s="96" t="s">
        <v>145</v>
      </c>
      <c r="B102" s="112">
        <v>61150.0</v>
      </c>
      <c r="D102" s="96" t="s">
        <v>156</v>
      </c>
      <c r="E102" s="96">
        <v>5.0</v>
      </c>
    </row>
    <row r="103" ht="22.5" customHeight="1">
      <c r="A103" s="96" t="s">
        <v>135</v>
      </c>
      <c r="B103" s="112">
        <v>49632.0</v>
      </c>
      <c r="D103" s="96" t="s">
        <v>133</v>
      </c>
      <c r="E103" s="96">
        <v>4.0</v>
      </c>
    </row>
    <row r="104" ht="22.5" customHeight="1">
      <c r="A104" s="96" t="s">
        <v>139</v>
      </c>
      <c r="B104" s="112">
        <v>33260.0</v>
      </c>
      <c r="D104" s="96" t="s">
        <v>135</v>
      </c>
      <c r="E104" s="96">
        <v>4.0</v>
      </c>
    </row>
    <row r="105" ht="22.5" customHeight="1">
      <c r="A105" s="96" t="s">
        <v>151</v>
      </c>
      <c r="B105" s="112">
        <v>32271.0</v>
      </c>
      <c r="D105" s="96" t="s">
        <v>139</v>
      </c>
      <c r="E105" s="96">
        <v>4.0</v>
      </c>
    </row>
    <row r="106" ht="22.5" customHeight="1">
      <c r="A106" s="96" t="s">
        <v>136</v>
      </c>
      <c r="B106" s="112">
        <v>29481.0</v>
      </c>
      <c r="D106" s="96" t="s">
        <v>149</v>
      </c>
      <c r="E106" s="96">
        <v>4.0</v>
      </c>
    </row>
    <row r="107" ht="22.5" customHeight="1">
      <c r="A107" s="96" t="s">
        <v>154</v>
      </c>
      <c r="B107" s="112">
        <v>24494.0</v>
      </c>
      <c r="D107" s="96" t="s">
        <v>155</v>
      </c>
      <c r="E107" s="96">
        <v>4.0</v>
      </c>
    </row>
    <row r="108" ht="22.5" customHeight="1">
      <c r="A108" s="96" t="s">
        <v>140</v>
      </c>
      <c r="B108" s="112">
        <v>23697.0</v>
      </c>
      <c r="D108" s="96" t="s">
        <v>136</v>
      </c>
      <c r="E108" s="96">
        <v>3.0</v>
      </c>
    </row>
    <row r="109" ht="22.5" customHeight="1">
      <c r="A109" s="96" t="s">
        <v>153</v>
      </c>
      <c r="B109" s="112">
        <v>17216.0</v>
      </c>
      <c r="D109" s="96" t="s">
        <v>138</v>
      </c>
      <c r="E109" s="96">
        <v>3.0</v>
      </c>
    </row>
    <row r="110" ht="22.5" customHeight="1">
      <c r="A110" s="96" t="s">
        <v>156</v>
      </c>
      <c r="B110" s="112">
        <v>8153.0</v>
      </c>
      <c r="D110" s="96" t="s">
        <v>140</v>
      </c>
      <c r="E110" s="96">
        <v>3.0</v>
      </c>
    </row>
    <row r="111" ht="22.5" customHeight="1">
      <c r="D111" s="96" t="s">
        <v>147</v>
      </c>
      <c r="E111" s="96">
        <v>0.0</v>
      </c>
    </row>
    <row r="112">
      <c r="A112" s="102"/>
      <c r="B112" s="102"/>
    </row>
  </sheetData>
  <dataValidations>
    <dataValidation type="custom" allowBlank="1" showDropDown="1" sqref="I7:I11 D16:D25 J16:J25 N16:N25 B16:B33 L29:L33 C40:C42 B88:B110">
      <formula1>AND(ISNUMBER(B7),(NOT(OR(NOT(ISERROR(DATEVALUE(B7))), AND(ISNUMBER(B7), LEFT(CELL("format", B7))="D")))))</formula1>
    </dataValidation>
    <dataValidation type="list" allowBlank="1" showDropDown="1" showErrorMessage="1" sqref="E16:E25">
      <formula1>"Top,Bottom"</formula1>
    </dataValidation>
  </dataValidations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13" t="s">
        <v>167</v>
      </c>
      <c r="B1" s="114"/>
    </row>
    <row r="122">
      <c r="A122" s="113" t="s">
        <v>127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